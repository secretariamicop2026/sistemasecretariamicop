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berna_alva_adventistas_org/Documents/"/>
    </mc:Choice>
  </mc:AlternateContent>
  <xr:revisionPtr revIDLastSave="0" documentId="8_{F8237952-AD3C-4494-A393-58CDA552F45C}" xr6:coauthVersionLast="47" xr6:coauthVersionMax="47" xr10:uidLastSave="{00000000-0000-0000-0000-000000000000}"/>
  <bookViews>
    <workbookView xWindow="-24120" yWindow="-120" windowWidth="24240" windowHeight="13140" firstSheet="1" activeTab="1" xr2:uid="{00000000-000D-0000-FFFF-FFFF00000000}"/>
  </bookViews>
  <sheets>
    <sheet name="ACTUALIZACIÓN 13.10 (2)" sheetId="14" state="hidden" r:id="rId1"/>
    <sheet name="ACTUALIZACIÓN 05.05" sheetId="13" r:id="rId2"/>
    <sheet name="ACTUALIZACIÓN 16.05 (2)" sheetId="6" r:id="rId3"/>
    <sheet name="ACTUALIZACIÓN N°" sheetId="1" r:id="rId4"/>
  </sheets>
  <definedNames>
    <definedName name="_xlnm._FilterDatabase" localSheetId="1" hidden="1">'ACTUALIZACIÓN 05.05'!$N$51:$N$51</definedName>
    <definedName name="_xlnm._FilterDatabase" localSheetId="0" hidden="1">'ACTUALIZACIÓN 05.05'!$C$4:$L$49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3" l="1"/>
  <c r="U50" i="13"/>
  <c r="S50" i="13"/>
  <c r="T50" i="13"/>
  <c r="M8" i="13"/>
  <c r="Q8" i="13"/>
  <c r="R50" i="13"/>
  <c r="R51" i="13" s="1"/>
  <c r="F50" i="13"/>
  <c r="M13" i="13"/>
  <c r="Q13" i="13"/>
  <c r="I50" i="13" l="1"/>
  <c r="I51" i="13" s="1"/>
  <c r="J50" i="13"/>
  <c r="J51" i="13" s="1"/>
  <c r="K50" i="13"/>
  <c r="K51" i="13" s="1"/>
  <c r="F51" i="13" l="1"/>
  <c r="G50" i="13"/>
  <c r="G51" i="13" s="1"/>
  <c r="H50" i="13"/>
  <c r="H51" i="13" s="1"/>
  <c r="L50" i="13"/>
  <c r="L51" i="13" s="1"/>
  <c r="N50" i="13"/>
  <c r="O50" i="13"/>
  <c r="P50" i="13"/>
  <c r="Q5" i="13"/>
  <c r="Q6" i="13"/>
  <c r="Q7" i="13"/>
  <c r="Q9" i="13"/>
  <c r="Q10" i="13"/>
  <c r="Q11" i="13"/>
  <c r="Q12" i="13"/>
  <c r="Q26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M5" i="13"/>
  <c r="Q50" i="13" l="1"/>
  <c r="M6" i="13"/>
  <c r="M7" i="13"/>
  <c r="M9" i="13"/>
  <c r="M10" i="13"/>
  <c r="M11" i="13"/>
  <c r="M12" i="13"/>
  <c r="M26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7" i="13"/>
  <c r="M28" i="13"/>
  <c r="M29" i="13"/>
  <c r="M30" i="13"/>
  <c r="M31" i="13"/>
  <c r="M32" i="13"/>
  <c r="M33" i="13"/>
  <c r="M34" i="13"/>
  <c r="M35" i="13"/>
  <c r="M36" i="13"/>
  <c r="M37" i="13"/>
  <c r="M39" i="13"/>
  <c r="M40" i="13"/>
  <c r="M41" i="13"/>
  <c r="M42" i="13"/>
  <c r="M43" i="13"/>
  <c r="M44" i="13"/>
  <c r="M45" i="13"/>
  <c r="M46" i="13"/>
  <c r="M47" i="13"/>
  <c r="M48" i="13"/>
  <c r="M49" i="13"/>
  <c r="K47" i="14"/>
  <c r="J47" i="14"/>
  <c r="I47" i="14"/>
  <c r="H47" i="14"/>
  <c r="G47" i="14"/>
  <c r="F47" i="14"/>
  <c r="E47" i="14"/>
  <c r="G48" i="6"/>
  <c r="H48" i="6"/>
  <c r="I48" i="6"/>
  <c r="J43" i="6"/>
  <c r="J48" i="6" s="1"/>
  <c r="I43" i="6"/>
  <c r="H43" i="6"/>
  <c r="G43" i="6"/>
  <c r="F43" i="6"/>
  <c r="F48" i="6" s="1"/>
  <c r="E43" i="6"/>
  <c r="E48" i="6" s="1"/>
  <c r="D43" i="6"/>
  <c r="D48" i="6" s="1"/>
  <c r="C43" i="6"/>
  <c r="C48" i="6" s="1"/>
  <c r="K47" i="1"/>
  <c r="L47" i="1"/>
  <c r="J47" i="1"/>
  <c r="D47" i="1"/>
  <c r="I47" i="1"/>
  <c r="H47" i="1"/>
  <c r="E47" i="1"/>
  <c r="F47" i="1"/>
  <c r="G47" i="1"/>
  <c r="C47" i="1"/>
  <c r="M50" i="13" l="1"/>
  <c r="M51" i="13" s="1"/>
</calcChain>
</file>

<file path=xl/sharedStrings.xml><?xml version="1.0" encoding="utf-8"?>
<sst xmlns="http://schemas.openxmlformats.org/spreadsheetml/2006/main" count="678" uniqueCount="267">
  <si>
    <t xml:space="preserve">SIN DATOS - ACTUALIZACIÓN DE FELIGRESÍA </t>
  </si>
  <si>
    <t>ZONA</t>
  </si>
  <si>
    <t>Distrito</t>
  </si>
  <si>
    <t>Nombre del responsable principal</t>
  </si>
  <si>
    <t xml:space="preserve">Miembros </t>
  </si>
  <si>
    <t>Estado Civil</t>
  </si>
  <si>
    <t xml:space="preserve">Formación académica </t>
  </si>
  <si>
    <t>Profesión/ocupación</t>
  </si>
  <si>
    <t>Religión Anterior</t>
  </si>
  <si>
    <t>¿Cómo conocio la IASD?</t>
  </si>
  <si>
    <t>¿Cómo estudiaste la Biblia?</t>
  </si>
  <si>
    <t>¿Cuál fue el factor decisivo para que sea bautizado?</t>
  </si>
  <si>
    <t>Callao B</t>
  </si>
  <si>
    <t>Gedeon Herrera Valqui</t>
  </si>
  <si>
    <t>SMP B</t>
  </si>
  <si>
    <t>Abel Castillo Saucedo</t>
  </si>
  <si>
    <t>SMP D</t>
  </si>
  <si>
    <t>Abel Cesar Torres Salazar</t>
  </si>
  <si>
    <t>LO ROJO ES LA CORRECION QUE IRE HACIENDO - ACTUALIZACION</t>
  </si>
  <si>
    <t>Callao A</t>
  </si>
  <si>
    <t>Eduardo Carlos Ricra Yauli</t>
  </si>
  <si>
    <t>SMP A</t>
  </si>
  <si>
    <t>Ever Vidal Rojas Hurtado</t>
  </si>
  <si>
    <t>SMP C</t>
  </si>
  <si>
    <t>Johan Marvin Bocanegra Mendoza</t>
  </si>
  <si>
    <t>Olivos D</t>
  </si>
  <si>
    <t>Remigio Morales Cordova</t>
  </si>
  <si>
    <t>Independencia A</t>
  </si>
  <si>
    <t>Abraham David Sanca Quispe</t>
  </si>
  <si>
    <t>Independencia B</t>
  </si>
  <si>
    <t>Mijail Pinedo Torres</t>
  </si>
  <si>
    <t>Olivos E</t>
  </si>
  <si>
    <t>Julio Pedro Conde Tantaleán</t>
  </si>
  <si>
    <t>Olivos A</t>
  </si>
  <si>
    <t>Elías Pastor Paz Suárez</t>
  </si>
  <si>
    <t>SMP E</t>
  </si>
  <si>
    <t>Gersón Teobaldo Oblitas Bardales</t>
  </si>
  <si>
    <t>Olivos C</t>
  </si>
  <si>
    <t>Edson Valerio Guerrero Llempen</t>
  </si>
  <si>
    <t>Olivos B</t>
  </si>
  <si>
    <t>Wilder Alberto Mathews Paredes</t>
  </si>
  <si>
    <t>Carabayllo B</t>
  </si>
  <si>
    <t>Wilder Julio Vargas Pompa</t>
  </si>
  <si>
    <t>Collique</t>
  </si>
  <si>
    <t>Selio Josué Cruz Huaranga</t>
  </si>
  <si>
    <t>Comas C</t>
  </si>
  <si>
    <t>Ubaldo Benjamín Ballena Rivadeneyra</t>
  </si>
  <si>
    <t>Comas B</t>
  </si>
  <si>
    <t>Carlos Avilés Palomino</t>
  </si>
  <si>
    <t>Comas A</t>
  </si>
  <si>
    <t>Fredy Miguel Sanchez Campos</t>
  </si>
  <si>
    <t>Carabayllo A</t>
  </si>
  <si>
    <t>David German Chacon Arredondo</t>
  </si>
  <si>
    <t>Pachacútec A</t>
  </si>
  <si>
    <t>Juan Terrones Fernandez</t>
  </si>
  <si>
    <t>Ventanilla</t>
  </si>
  <si>
    <t>Moisés Nilsen Mellado Torpoco</t>
  </si>
  <si>
    <t>Puente Piedra A</t>
  </si>
  <si>
    <t>Héctor Salomón Zelaya Rabanal</t>
  </si>
  <si>
    <t>Puente Piedra B</t>
  </si>
  <si>
    <t>José Luis Villarreal Pucce</t>
  </si>
  <si>
    <t>Puente Piedra C</t>
  </si>
  <si>
    <t>Daniel Ayudante Chávez</t>
  </si>
  <si>
    <t>Ancón</t>
  </si>
  <si>
    <t>Yeferson Anselmo Cruz Mariño</t>
  </si>
  <si>
    <t>Pachacútec B</t>
  </si>
  <si>
    <t>Samuel Nicolás Conde Sánchez</t>
  </si>
  <si>
    <t>Oyón</t>
  </si>
  <si>
    <t>Jhordan Fuentes Chávez</t>
  </si>
  <si>
    <t>Huaral</t>
  </si>
  <si>
    <t>Luis Alberto Obeso Torres</t>
  </si>
  <si>
    <t>Huacho</t>
  </si>
  <si>
    <t>Daniel Gerson Cotera Quispe</t>
  </si>
  <si>
    <t>Barranca Norte</t>
  </si>
  <si>
    <t>Angel Gerardo Bobadilla Luna</t>
  </si>
  <si>
    <t>Huaura</t>
  </si>
  <si>
    <t>David Eliazar Silverio Chávez</t>
  </si>
  <si>
    <t>Barranca Sur</t>
  </si>
  <si>
    <t>Joab Abner Antesana Mayor</t>
  </si>
  <si>
    <t>Chimbote B</t>
  </si>
  <si>
    <t>Carlos Miguel Cunza Aranzabal</t>
  </si>
  <si>
    <t>Chimbote C</t>
  </si>
  <si>
    <t>Richard Llacua Reyes</t>
  </si>
  <si>
    <t>Chimbote D</t>
  </si>
  <si>
    <t>Juan Magoberth Peralta Terán</t>
  </si>
  <si>
    <t>Chimbote A</t>
  </si>
  <si>
    <t>Wilson Cabrera Casas</t>
  </si>
  <si>
    <t>Chimbote F</t>
  </si>
  <si>
    <t>Ime Ronal  Pérez Goicochea</t>
  </si>
  <si>
    <t>Chimbote E</t>
  </si>
  <si>
    <t>Miguel Angel Rivera Quinto</t>
  </si>
  <si>
    <t>Nuevo Chimbote C</t>
  </si>
  <si>
    <t>Joel Benjamín Infante Usquiano</t>
  </si>
  <si>
    <t>Casma</t>
  </si>
  <si>
    <t>Juan Abner Sanchez Rivera</t>
  </si>
  <si>
    <t>Nuevo Chimbote B</t>
  </si>
  <si>
    <t>Daniel Joel Suárez Estela</t>
  </si>
  <si>
    <t>Nuevo Chimbote A</t>
  </si>
  <si>
    <t>Noé Orlando Guevara Guerrero</t>
  </si>
  <si>
    <t>ACTUALIZACION DE DATOS</t>
  </si>
  <si>
    <t>ACTUALIZACION DE FELIGRESIA</t>
  </si>
  <si>
    <t>7me</t>
  </si>
  <si>
    <t>OFICIALES</t>
  </si>
  <si>
    <t>TOTAL POR ACTUALIZAR</t>
  </si>
  <si>
    <t>A RESCATAR</t>
  </si>
  <si>
    <t>%</t>
  </si>
  <si>
    <t>Paradero desconocido</t>
  </si>
  <si>
    <t>Total por remover</t>
  </si>
  <si>
    <t>MIEMBROS CON 7ME</t>
  </si>
  <si>
    <t>META</t>
  </si>
  <si>
    <t>IGLESIAS SIN SECRETARIO ASOCIADO</t>
  </si>
  <si>
    <t>SIN Anciano joven</t>
  </si>
  <si>
    <t>Proy. Cajatambo</t>
  </si>
  <si>
    <t>Carlos Ayala</t>
  </si>
  <si>
    <t>Arturo Marcel Vizconde Cotrina</t>
  </si>
  <si>
    <t>Rolly Raúl Ríos Vásquez</t>
  </si>
  <si>
    <t>Martín Guzman Díaz Vasquez</t>
  </si>
  <si>
    <t>Huarmey</t>
  </si>
  <si>
    <t>Dilmer Carranza</t>
  </si>
  <si>
    <t>Nvo. Chimbote A</t>
  </si>
  <si>
    <t>Nvo. Chimbote B</t>
  </si>
  <si>
    <t>Nvo. Chimbote C</t>
  </si>
  <si>
    <t>MiCOP</t>
  </si>
  <si>
    <t xml:space="preserve">GRUPOS CON MENOS DE  12 MIEMBROS </t>
  </si>
  <si>
    <t>Nombre del Grupo</t>
  </si>
  <si>
    <t>Miembros</t>
  </si>
  <si>
    <t>PUBLICADOS COMO DESCONOCIDOS</t>
  </si>
  <si>
    <t>Cajacay - Barranca Norte</t>
  </si>
  <si>
    <t>Ciudad Satélite - Huacho</t>
  </si>
  <si>
    <t>Colcap - Nvo Chimbote C</t>
  </si>
  <si>
    <t>la Arboleda - Ancón</t>
  </si>
  <si>
    <t>Macracancha - Nvo Chimbote C</t>
  </si>
  <si>
    <t>Nava - Oyon</t>
  </si>
  <si>
    <t>Nueva Florida Baja - Chimbote B</t>
  </si>
  <si>
    <t>Nuevo</t>
  </si>
  <si>
    <t>Nuevo Bethel - Callao B</t>
  </si>
  <si>
    <t>Remanente Z1 - Olivos D</t>
  </si>
  <si>
    <t>IGLESIAS CON MENOS DE 34 MIEMBROS</t>
  </si>
  <si>
    <t>Nombre de la Iglesia</t>
  </si>
  <si>
    <t>Bethel - Chimbote C</t>
  </si>
  <si>
    <t>Jerusalén - SMP C</t>
  </si>
  <si>
    <t>la Educación - Independencia B</t>
  </si>
  <si>
    <t>la Libertad - Chimbote B</t>
  </si>
  <si>
    <t>Llaquin - Huaura</t>
  </si>
  <si>
    <t>los Portales - Huacho</t>
  </si>
  <si>
    <t>Pampa de Anímas - Huacho</t>
  </si>
  <si>
    <t>Poligono - Smp A</t>
  </si>
  <si>
    <t>IGLESIAS SIN BAUTISMO</t>
  </si>
  <si>
    <t>Zona I</t>
  </si>
  <si>
    <t>la Hermosa - Callao B</t>
  </si>
  <si>
    <t>Zona IV</t>
  </si>
  <si>
    <t>Sector Keiko Sofia - Ancón</t>
  </si>
  <si>
    <t>Profam - Pachacútec B</t>
  </si>
  <si>
    <t>Urbanización Villamoto - Pachacútec B</t>
  </si>
  <si>
    <t>Zona V</t>
  </si>
  <si>
    <t>Sayán - Huacho</t>
  </si>
  <si>
    <t>Paccho - Huaura</t>
  </si>
  <si>
    <t>Zona VII</t>
  </si>
  <si>
    <t>Moro - Nvo Chimbote C</t>
  </si>
  <si>
    <t>GRUPOS SIN BAUTISMO</t>
  </si>
  <si>
    <t>César Vallejo - Callao B</t>
  </si>
  <si>
    <t>Brisas de Santa Rosa - SMP C</t>
  </si>
  <si>
    <t>Zona II</t>
  </si>
  <si>
    <t>Cahuide - Independencia A</t>
  </si>
  <si>
    <t>Cesar Vallejo - Independencia B</t>
  </si>
  <si>
    <t>3 de Mayo - SMP E</t>
  </si>
  <si>
    <t>Zona III</t>
  </si>
  <si>
    <t>Canta - Carabayllo B</t>
  </si>
  <si>
    <t>Villa Esperanza - Carabayllo B</t>
  </si>
  <si>
    <t>Collique III - Collique</t>
  </si>
  <si>
    <t>los Valdenses - Collique</t>
  </si>
  <si>
    <t>Sector B 4 - Pachacútec A</t>
  </si>
  <si>
    <t>Profam B - Pachacútec B</t>
  </si>
  <si>
    <t>las Tunas - Pte Piedra A</t>
  </si>
  <si>
    <t>Hijos de Jerusalén - Pte Piedra B</t>
  </si>
  <si>
    <t>los Ángeles - Pte Piedra B</t>
  </si>
  <si>
    <t>Tiwinza - Pte Piedra B</t>
  </si>
  <si>
    <t>Jedima - Pte Piedra C</t>
  </si>
  <si>
    <t>Ciudad del Deporte - Ventanilla</t>
  </si>
  <si>
    <t>Chamas - Cajatambo</t>
  </si>
  <si>
    <t>Chiu Chiu - Barranca Norte</t>
  </si>
  <si>
    <t>Pampa del Ángel - Barranca Norte</t>
  </si>
  <si>
    <t>Potao - Barranca Norte</t>
  </si>
  <si>
    <t>Providencia - Barranca Norte</t>
  </si>
  <si>
    <t>Santa Rosa - Barranca Norte</t>
  </si>
  <si>
    <t>Congas - Barranca Sur</t>
  </si>
  <si>
    <t>Emanuel - Barranca Sur</t>
  </si>
  <si>
    <t>Llamachupam - Barranca Sur</t>
  </si>
  <si>
    <t>Porvenir - Barranca Sur</t>
  </si>
  <si>
    <t>Andahuasi - Huacho</t>
  </si>
  <si>
    <t>Calpa - Huacho</t>
  </si>
  <si>
    <t>La Tablada - Huacho</t>
  </si>
  <si>
    <t>Lancha - Huacho</t>
  </si>
  <si>
    <t>Paraíso - Huacho</t>
  </si>
  <si>
    <t>Santa Cruz - Huacho</t>
  </si>
  <si>
    <t>Aucallama - Huaral</t>
  </si>
  <si>
    <t>la Merced - Huaral</t>
  </si>
  <si>
    <t>las Viñas - Huaral</t>
  </si>
  <si>
    <t>Pampa Libre - Huaral</t>
  </si>
  <si>
    <t>Huacar - Huaura</t>
  </si>
  <si>
    <t>los Jardines - Huaura</t>
  </si>
  <si>
    <t>Molinos - Huaura</t>
  </si>
  <si>
    <t>Tres de Mayo - Huaura</t>
  </si>
  <si>
    <t>Viroc - Oyon</t>
  </si>
  <si>
    <t>Zona VI</t>
  </si>
  <si>
    <t>Villa el Sol - Chimbote B</t>
  </si>
  <si>
    <t>Cahuide - Chimbote D</t>
  </si>
  <si>
    <t>Coishco B - Chimbote e</t>
  </si>
  <si>
    <t>Huachaullo - Chimbote E</t>
  </si>
  <si>
    <t>Pampa Vinzos - Chimbote e</t>
  </si>
  <si>
    <t>Rinconada - Chimbote e</t>
  </si>
  <si>
    <t>Río Seco - Chimbote e</t>
  </si>
  <si>
    <t>Jaihua - Casma</t>
  </si>
  <si>
    <t>Las Orquídeas - Nuevo Chimbote A</t>
  </si>
  <si>
    <t>Tangay - Nvo Chimbote A</t>
  </si>
  <si>
    <t>Carhuamarca - Nvo Chimbote C</t>
  </si>
  <si>
    <t>Mucharan - Nvo Chimbote C</t>
  </si>
  <si>
    <t>Nepeña - Nvo Chimbote C</t>
  </si>
  <si>
    <t>Nuevo Moro - Nvo Chimbote C</t>
  </si>
  <si>
    <t>Virahuanca - Nvo Chimbote C</t>
  </si>
  <si>
    <t xml:space="preserve">MIEMBROS CON INFORMACIÓN INCOMPLETA </t>
  </si>
  <si>
    <t xml:space="preserve">Distritos </t>
  </si>
  <si>
    <t>Correo</t>
  </si>
  <si>
    <t>Rafael Gilmar Calla Quispe</t>
  </si>
  <si>
    <t>ZONA VI</t>
  </si>
  <si>
    <t>DISTRITO</t>
  </si>
  <si>
    <t>Miembros ACMS</t>
  </si>
  <si>
    <t xml:space="preserve">Correo </t>
  </si>
  <si>
    <t>¿Cómo conoció la IASD?</t>
  </si>
  <si>
    <t>¿Cómo estudió la Biblia?</t>
  </si>
  <si>
    <t>¿Cuál fue el factor decisivo para ser bautizado?</t>
  </si>
  <si>
    <t>DNI</t>
  </si>
  <si>
    <t>Fecha de bautismo</t>
  </si>
  <si>
    <t>Yeferson  Cruz Mariño</t>
  </si>
  <si>
    <t>Angel Bobadilla Luna</t>
  </si>
  <si>
    <t>Joab Antesana Mayor</t>
  </si>
  <si>
    <t>Eduardo  Ricra Yauli</t>
  </si>
  <si>
    <t>David  Chacon Arredondo</t>
  </si>
  <si>
    <t>Wilder Vargas Pompa</t>
  </si>
  <si>
    <t>Juan  Sanchez Rivera</t>
  </si>
  <si>
    <t>Carlos  Cunza Aranzabal</t>
  </si>
  <si>
    <t>Juan  Peralta Terán</t>
  </si>
  <si>
    <t>Rafael Calla Quispe</t>
  </si>
  <si>
    <t>Ime Pérez Goicochea</t>
  </si>
  <si>
    <t>Selio Cruz Huaranga</t>
  </si>
  <si>
    <t>Fredy Sanchez Campos</t>
  </si>
  <si>
    <t>Ubaldo Ballena Rivadeneyra</t>
  </si>
  <si>
    <t>Daniel Cotera Quispe</t>
  </si>
  <si>
    <t>Luis Obeso Torres</t>
  </si>
  <si>
    <t>David  Silverio Chávez</t>
  </si>
  <si>
    <t>Abraham Sanca Quispe</t>
  </si>
  <si>
    <t>Noé Guevara Guerrero</t>
  </si>
  <si>
    <t>Daniel Suárez Estela</t>
  </si>
  <si>
    <t>Miguel Rivera Quinto</t>
  </si>
  <si>
    <t>Elías Paz Suárez</t>
  </si>
  <si>
    <t>Wilder Mathews Paredes</t>
  </si>
  <si>
    <t>Johan Bocanegra Mendoza</t>
  </si>
  <si>
    <t>OLIVOS D</t>
  </si>
  <si>
    <t>Julio Conde Tantaleán</t>
  </si>
  <si>
    <t>Samuel Conde Sánchez</t>
  </si>
  <si>
    <t>Héctor Zelaya Rabanal</t>
  </si>
  <si>
    <t>José Villarreal Pucce</t>
  </si>
  <si>
    <t>Ever Rojas Hurtado</t>
  </si>
  <si>
    <t>Joel Infante Usquiano</t>
  </si>
  <si>
    <t>Abel Torres Salazar</t>
  </si>
  <si>
    <t>Gersón Oblitas Bardales</t>
  </si>
  <si>
    <t>Moisés Mellado Torpoco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</si>
</sst>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5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4"/>
      <name val="Calibri"/>
      <family val="2"/>
    </font>
    <font>
      <b/>
      <sz val="12"/>
      <color theme="1"/>
      <name val="Calibri"/>
      <family val="2"/>
    </font>
    <font>
      <sz val="12"/>
      <color theme="1" tint="4.9989318521683403E-2"/>
      <name val="Calibri"/>
      <family val="2"/>
    </font>
    <font>
      <sz val="12"/>
      <color theme="1"/>
      <name val="Calibri"/>
      <family val="2"/>
    </font>
    <font>
      <b/>
      <sz val="11"/>
      <color theme="5" tint="-0.249977111117893"/>
      <name val="Calibri"/>
      <family val="2"/>
    </font>
    <font>
      <sz val="12"/>
      <color rgb="FFFF0000"/>
      <name val="Calibri"/>
      <family val="2"/>
    </font>
    <font>
      <b/>
      <sz val="12"/>
      <color theme="1" tint="4.9989318521683403E-2"/>
      <name val="Calibri"/>
      <family val="2"/>
    </font>
    <font>
      <sz val="9"/>
      <color rgb="FF000000"/>
      <name val="Microsoft Sans Serif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8"/>
      <color theme="0"/>
      <name val="Calibri"/>
      <family val="2"/>
    </font>
    <font>
      <sz val="8"/>
      <name val="Calibri"/>
      <family val="2"/>
    </font>
    <font>
      <sz val="12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4" tint="0.39997558519241921"/>
      </top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4" fontId="6" fillId="0" borderId="0" xfId="0" applyNumberFormat="1" applyFont="1"/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2" fillId="0" borderId="1" xfId="0" applyFont="1" applyBorder="1"/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6" xfId="0" applyFont="1" applyBorder="1"/>
    <xf numFmtId="0" fontId="13" fillId="3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textRotation="90" wrapText="1"/>
    </xf>
    <xf numFmtId="0" fontId="12" fillId="0" borderId="9" xfId="0" applyFont="1" applyBorder="1"/>
    <xf numFmtId="0" fontId="13" fillId="3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2" fillId="4" borderId="6" xfId="0" applyFont="1" applyFill="1" applyBorder="1"/>
    <xf numFmtId="0" fontId="12" fillId="4" borderId="1" xfId="0" applyFont="1" applyFill="1" applyBorder="1"/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8" fillId="0" borderId="5" xfId="0" applyFont="1" applyBorder="1" applyAlignment="1">
      <alignment wrapText="1"/>
    </xf>
    <xf numFmtId="0" fontId="18" fillId="0" borderId="5" xfId="0" applyFont="1" applyBorder="1"/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8" fillId="4" borderId="5" xfId="0" applyFont="1" applyFill="1" applyBorder="1" applyAlignment="1">
      <alignment wrapText="1"/>
    </xf>
    <xf numFmtId="0" fontId="0" fillId="4" borderId="0" xfId="0" applyFill="1" applyAlignment="1">
      <alignment horizontal="center" vertical="center"/>
    </xf>
    <xf numFmtId="0" fontId="18" fillId="4" borderId="5" xfId="0" applyFont="1" applyFill="1" applyBorder="1"/>
    <xf numFmtId="0" fontId="0" fillId="5" borderId="0" xfId="0" applyFill="1" applyAlignment="1">
      <alignment horizontal="center" vertical="center"/>
    </xf>
    <xf numFmtId="0" fontId="18" fillId="5" borderId="5" xfId="0" applyFont="1" applyFill="1" applyBorder="1"/>
    <xf numFmtId="0" fontId="18" fillId="5" borderId="5" xfId="0" applyFont="1" applyFill="1" applyBorder="1" applyAlignment="1">
      <alignment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2" borderId="15" xfId="0" applyFont="1" applyFill="1" applyBorder="1" applyAlignment="1">
      <alignment horizontal="center" vertical="center" textRotation="90" wrapText="1"/>
    </xf>
    <xf numFmtId="0" fontId="0" fillId="4" borderId="0" xfId="0" applyFill="1"/>
    <xf numFmtId="0" fontId="15" fillId="0" borderId="0" xfId="0" applyFont="1" applyAlignment="1">
      <alignment horizontal="center"/>
    </xf>
    <xf numFmtId="1" fontId="0" fillId="0" borderId="0" xfId="0" applyNumberFormat="1"/>
    <xf numFmtId="0" fontId="15" fillId="3" borderId="0" xfId="0" applyFont="1" applyFill="1" applyAlignment="1">
      <alignment horizontal="center"/>
    </xf>
    <xf numFmtId="0" fontId="20" fillId="3" borderId="15" xfId="0" applyFont="1" applyFill="1" applyBorder="1" applyAlignment="1">
      <alignment horizontal="center" vertical="center" textRotation="90" wrapText="1"/>
    </xf>
    <xf numFmtId="0" fontId="10" fillId="3" borderId="0" xfId="0" applyFont="1" applyFill="1"/>
    <xf numFmtId="0" fontId="21" fillId="3" borderId="0" xfId="0" applyFont="1" applyFill="1"/>
    <xf numFmtId="0" fontId="22" fillId="2" borderId="8" xfId="0" applyFont="1" applyFill="1" applyBorder="1" applyAlignment="1">
      <alignment horizontal="center" vertical="center" textRotation="90"/>
    </xf>
    <xf numFmtId="0" fontId="0" fillId="12" borderId="0" xfId="0" applyFill="1" applyAlignment="1">
      <alignment horizontal="center" vertical="center"/>
    </xf>
    <xf numFmtId="0" fontId="12" fillId="3" borderId="9" xfId="0" applyFont="1" applyFill="1" applyBorder="1"/>
    <xf numFmtId="0" fontId="0" fillId="1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3" borderId="0" xfId="0" applyFill="1" applyAlignment="1">
      <alignment horizontal="center"/>
    </xf>
    <xf numFmtId="0" fontId="12" fillId="4" borderId="9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6" fillId="10" borderId="1" xfId="0" applyFont="1" applyFill="1" applyBorder="1" applyAlignment="1">
      <alignment horizontal="center" vertical="center"/>
    </xf>
    <xf numFmtId="9" fontId="16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2" fillId="10" borderId="10" xfId="0" applyFont="1" applyFill="1" applyBorder="1"/>
    <xf numFmtId="0" fontId="12" fillId="10" borderId="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1" fontId="19" fillId="8" borderId="3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 textRotation="90" wrapText="1"/>
    </xf>
    <xf numFmtId="0" fontId="3" fillId="9" borderId="15" xfId="0" applyFont="1" applyFill="1" applyBorder="1" applyAlignment="1">
      <alignment horizontal="center" vertical="center" textRotation="90" wrapText="1"/>
    </xf>
    <xf numFmtId="0" fontId="0" fillId="0" borderId="12" xfId="0" applyBorder="1"/>
    <xf numFmtId="0" fontId="3" fillId="14" borderId="15" xfId="0" applyFont="1" applyFill="1" applyBorder="1" applyAlignment="1">
      <alignment horizontal="center" vertical="center" textRotation="90" wrapText="1"/>
    </xf>
    <xf numFmtId="0" fontId="12" fillId="11" borderId="15" xfId="0" applyFont="1" applyFill="1" applyBorder="1" applyAlignment="1">
      <alignment horizontal="center" vertical="center" textRotation="90"/>
    </xf>
    <xf numFmtId="0" fontId="12" fillId="4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4" borderId="5" xfId="0" applyFill="1" applyBorder="1"/>
    <xf numFmtId="0" fontId="0" fillId="4" borderId="0" xfId="0" applyFill="1" applyAlignment="1">
      <alignment horizontal="center"/>
    </xf>
    <xf numFmtId="0" fontId="12" fillId="15" borderId="1" xfId="0" applyFont="1" applyFill="1" applyBorder="1"/>
    <xf numFmtId="0" fontId="0" fillId="12" borderId="19" xfId="0" applyFill="1" applyBorder="1" applyAlignment="1">
      <alignment horizontal="center"/>
    </xf>
    <xf numFmtId="0" fontId="17" fillId="3" borderId="9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24" fillId="0" borderId="6" xfId="0" applyFont="1" applyBorder="1"/>
    <xf numFmtId="0" fontId="24" fillId="0" borderId="1" xfId="0" applyFont="1" applyBorder="1"/>
    <xf numFmtId="0" fontId="25" fillId="0" borderId="0" xfId="0" applyFont="1"/>
    <xf numFmtId="0" fontId="25" fillId="0" borderId="1" xfId="0" applyFont="1" applyBorder="1"/>
    <xf numFmtId="0" fontId="24" fillId="0" borderId="0" xfId="0" applyFont="1"/>
    <xf numFmtId="0" fontId="24" fillId="0" borderId="11" xfId="0" applyFont="1" applyBorder="1"/>
    <xf numFmtId="0" fontId="15" fillId="0" borderId="0" xfId="0" applyFont="1" applyAlignment="1">
      <alignment horizontal="center"/>
    </xf>
    <xf numFmtId="0" fontId="15" fillId="3" borderId="0" xfId="0" applyFont="1" applyFill="1" applyAlignment="1">
      <alignment horizontal="center"/>
    </xf>
    <xf numFmtId="14" fontId="15" fillId="3" borderId="0" xfId="0" applyNumberFormat="1" applyFont="1" applyFill="1" applyAlignment="1">
      <alignment horizontal="center" vertical="center"/>
    </xf>
    <xf numFmtId="14" fontId="15" fillId="10" borderId="0" xfId="0" applyNumberFormat="1" applyFont="1" applyFill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66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/>
      <border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outline="0">
        <bottom style="thin">
          <color theme="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CE193-DAB9-4825-B162-635E4609F6B2}" name="Tabla13" displayName="Tabla13" ref="A3:K47" totalsRowCount="1" headerRowDxfId="65" headerRowBorderDxfId="64">
  <autoFilter ref="A3:K46" xr:uid="{D10704E4-FADE-4C5F-B12C-508A7D8CA92E}"/>
  <sortState xmlns:xlrd2="http://schemas.microsoft.com/office/spreadsheetml/2017/richdata2" ref="A4:K46">
    <sortCondition ref="A3:A46"/>
  </sortState>
  <tableColumns count="11">
    <tableColumn id="1" xr3:uid="{797ABB83-3C97-4A3E-BEA4-F5A48D93DFC1}" name="ZONA"/>
    <tableColumn id="2" xr3:uid="{A44B38D9-E477-4869-8EA9-A67684DA662C}" name="Distrito" dataDxfId="62" totalsRowDxfId="63"/>
    <tableColumn id="3" xr3:uid="{D66854CD-59CC-4459-B128-37A4C88F8837}" name="Nombre del responsable principal" dataDxfId="60" totalsRowDxfId="61"/>
    <tableColumn id="4" xr3:uid="{778BD7E3-F0EC-4B98-938B-0544154430E9}" name="Miembros " dataDxfId="58" totalsRowDxfId="59"/>
    <tableColumn id="5" xr3:uid="{EF4E121B-365E-45F2-A16F-AD074A2E6C77}" name="Estado Civil" totalsRowFunction="sum" dataDxfId="56" totalsRowDxfId="57"/>
    <tableColumn id="6" xr3:uid="{6E143635-BB34-471E-8508-69D504CFA4C4}" name="Formación académica " totalsRowFunction="custom" dataDxfId="54" totalsRowDxfId="55">
      <totalsRowFormula>SUBTOTAL(109,Tabla13[[Formación académica ]])</totalsRowFormula>
    </tableColumn>
    <tableColumn id="7" xr3:uid="{1FD3BB70-E7C4-49FE-B892-EF094835DDF3}" name="Profesión/ocupación" totalsRowFunction="custom" dataDxfId="52" totalsRowDxfId="53">
      <totalsRowFormula>SUBTOTAL(109,Tabla13[Profesión/ocupación])</totalsRowFormula>
    </tableColumn>
    <tableColumn id="8" xr3:uid="{DBF8862F-E553-40DE-B713-95F48A7ABFC3}" name="Religión Anterior" totalsRowFunction="custom" dataDxfId="50" totalsRowDxfId="51">
      <totalsRowFormula>SUBTOTAL(109,Tabla13[Religión Anterior])</totalsRowFormula>
    </tableColumn>
    <tableColumn id="9" xr3:uid="{68954460-4BC4-4EA7-9556-2F076A0CD583}" name="¿Cómo conocio la IASD?" totalsRowFunction="custom" dataDxfId="48" totalsRowDxfId="49">
      <totalsRowFormula>SUBTOTAL(109,Tabla13[¿Cómo conocio la IASD?])</totalsRowFormula>
    </tableColumn>
    <tableColumn id="10" xr3:uid="{603AAE55-2B34-4D32-9B95-6C1CA5282FCF}" name="¿Cómo estudiaste la Biblia?" totalsRowFunction="custom" dataDxfId="46" totalsRowDxfId="47">
      <totalsRowFormula>SUBTOTAL(109,Tabla13[¿Cómo estudiaste la Biblia?])</totalsRowFormula>
    </tableColumn>
    <tableColumn id="11" xr3:uid="{C60E4D9A-B130-4992-8DAA-29D99B55D96D}" name="¿Cuál fue el factor decisivo para que sea bautizado?" totalsRowFunction="custom" dataDxfId="44" totalsRowDxfId="45">
      <totalsRowFormula>SUBTOTAL(109,Tabla13[¿Cuál fue el factor decisivo para que sea bautizado?])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704E4-FADE-4C5F-B12C-508A7D8CA92E}" name="Tabla1" displayName="Tabla1" ref="B4:U50" totalsRowCount="1" headerRowDxfId="43" totalsRowDxfId="42" headerRowBorderDxfId="41" totalsRowBorderDxfId="40">
  <autoFilter ref="B4:U49" xr:uid="{D10704E4-FADE-4C5F-B12C-508A7D8CA92E}">
    <filterColumn colId="11">
      <filters>
        <filter val="0"/>
        <filter val="1"/>
        <filter val="2"/>
        <filter val="3"/>
        <filter val="4"/>
        <filter val="5"/>
        <filter val="9"/>
      </filters>
    </filterColumn>
  </autoFilter>
  <sortState xmlns:xlrd2="http://schemas.microsoft.com/office/spreadsheetml/2017/richdata2" ref="B5:U49">
    <sortCondition ref="C4:C49"/>
  </sortState>
  <tableColumns count="20">
    <tableColumn id="1" xr3:uid="{CA92843A-7B9C-4A9D-B321-756C486B8C8A}" name="ZONA" dataDxfId="38" totalsRowDxfId="39"/>
    <tableColumn id="2" xr3:uid="{3CBAF426-A5D2-4064-BB7E-BC7C6A9BBD27}" name="Distrito" totalsRowLabel="MiCOP" dataDxfId="36" totalsRowDxfId="37"/>
    <tableColumn id="3" xr3:uid="{9A4F2952-5974-4604-A6F5-1378C0FEE3CC}" name="Nombre del responsable principal" dataDxfId="34" totalsRowDxfId="35"/>
    <tableColumn id="4" xr3:uid="{9DFB81A7-7576-49BC-8A12-46977B12BDF8}" name="Miembros " totalsRowFunction="sum" dataDxfId="32" totalsRowDxfId="33"/>
    <tableColumn id="5" xr3:uid="{44BE259F-3825-45CA-AF21-E09BA3E7C648}" name="Estado Civil" totalsRowFunction="sum" dataDxfId="30" totalsRowDxfId="31"/>
    <tableColumn id="6" xr3:uid="{1AB06424-D057-4C7D-BBBE-F974CA51330D}" name="Formación académica " totalsRowFunction="sum" dataDxfId="28" totalsRowDxfId="29"/>
    <tableColumn id="7" xr3:uid="{4B64CDA8-839F-42E0-9063-82EEA2AAB15F}" name="Profesión/ocupación" totalsRowFunction="sum" dataDxfId="26" totalsRowDxfId="27"/>
    <tableColumn id="8" xr3:uid="{1C2226F8-4AAA-46E8-86CE-A37E5CE90239}" name="Religión Anterior" totalsRowFunction="sum" dataDxfId="24" totalsRowDxfId="25"/>
    <tableColumn id="9" xr3:uid="{CA0FD755-EBC0-4B6B-8A07-13BBF9594081}" name="¿Cómo conocio la IASD?" totalsRowFunction="sum" dataDxfId="22" totalsRowDxfId="23"/>
    <tableColumn id="10" xr3:uid="{9715C546-4CC7-4960-A4D9-B9B52F1342FC}" name="¿Cómo estudiaste la Biblia?" totalsRowFunction="sum" dataDxfId="20" totalsRowDxfId="21"/>
    <tableColumn id="11" xr3:uid="{8BE9139E-2FAF-4301-894E-DED8532A7B59}" name="¿Cuál fue el factor decisivo para que sea bautizado?" totalsRowFunction="sum" dataDxfId="18" totalsRowDxfId="19"/>
    <tableColumn id="12" xr3:uid="{61245476-08BA-45A9-BD3C-DF4614397956}" name="TOTAL POR ACTUALIZAR" totalsRowFunction="sum" dataDxfId="16" totalsRowDxfId="17">
      <calculatedColumnFormula>SUM(Tabla1[[#This Row],[Estado Civil]:[¿Cuál fue el factor decisivo para que sea bautizado?]])</calculatedColumnFormula>
    </tableColumn>
    <tableColumn id="13" xr3:uid="{B7210DB5-EF88-4060-812A-462EC46E8254}" name="A RESCATAR" totalsRowFunction="sum" dataDxfId="14" totalsRowDxfId="15"/>
    <tableColumn id="15" xr3:uid="{BB8EDB87-007D-493B-881A-D929FC36C0ED}" name="%" totalsRowFunction="sum" dataDxfId="12" totalsRowDxfId="13"/>
    <tableColumn id="14" xr3:uid="{1E470665-54F8-4B85-82B9-68096AF0D119}" name="Paradero desconocido" totalsRowFunction="sum" dataDxfId="10" totalsRowDxfId="11"/>
    <tableColumn id="16" xr3:uid="{260D206C-11D7-420D-B2A7-B3504586242C}" name="Total por remover" totalsRowFunction="sum" dataDxfId="8" totalsRowDxfId="9">
      <calculatedColumnFormula>SUM(Tabla1[[#This Row],[A RESCATAR]:[Paradero desconocido]])</calculatedColumnFormula>
    </tableColumn>
    <tableColumn id="17" xr3:uid="{EF0093DB-844B-460D-BC71-9048604823F0}" name="MIEMBROS CON 7ME" totalsRowFunction="sum" dataDxfId="6" totalsRowDxfId="7"/>
    <tableColumn id="21" xr3:uid="{1606BA96-DC2C-45C6-8C22-B79CB00580A4}" name="META" totalsRowFunction="sum" dataDxfId="4" totalsRowDxfId="5"/>
    <tableColumn id="18" xr3:uid="{13C9F0B6-EE20-4F60-A6C0-9F3A06B841C7}" name="IGLESIAS SIN SECRETARIO ASOCIADO" totalsRowFunction="sum" dataDxfId="2" totalsRowDxfId="3"/>
    <tableColumn id="20" xr3:uid="{09173F50-4C78-4246-AE88-09DE287C873F}" name="SIN Anciano joven" totalsRowFunction="sum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376A-A7BC-4769-B72E-7E5023B9BE52}">
  <sheetPr>
    <tabColor rgb="FF92D050"/>
  </sheetPr>
  <dimension ref="A1:O50"/>
  <sheetViews>
    <sheetView zoomScaleNormal="100" workbookViewId="0">
      <pane ySplit="3" topLeftCell="A4" activePane="bottomLeft" state="frozen"/>
      <selection pane="bottomLeft"/>
    </sheetView>
  </sheetViews>
  <sheetFormatPr defaultColWidth="9.140625" defaultRowHeight="15"/>
  <cols>
    <col min="1" max="1" width="5.28515625" customWidth="1"/>
    <col min="2" max="2" width="21.28515625" customWidth="1"/>
    <col min="3" max="3" width="38.140625" customWidth="1"/>
    <col min="4" max="4" width="8" style="1" customWidth="1"/>
    <col min="5" max="5" width="6.140625" style="1" customWidth="1"/>
    <col min="6" max="6" width="8.42578125" style="1" customWidth="1"/>
    <col min="7" max="7" width="10.140625" style="1" customWidth="1"/>
    <col min="8" max="8" width="9.7109375" style="1" customWidth="1"/>
    <col min="9" max="9" width="9.85546875" customWidth="1"/>
    <col min="10" max="10" width="10.28515625" style="1" customWidth="1"/>
    <col min="11" max="11" width="18.7109375" customWidth="1"/>
    <col min="15" max="15" width="60.28515625" customWidth="1"/>
  </cols>
  <sheetData>
    <row r="1" spans="1:15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</row>
    <row r="2" spans="1:15" ht="18.75" customHeight="1">
      <c r="B2" s="138">
        <v>45944</v>
      </c>
      <c r="C2" s="139"/>
      <c r="D2" s="139"/>
      <c r="E2" s="139"/>
      <c r="F2" s="139"/>
      <c r="G2" s="139"/>
      <c r="H2" s="139"/>
      <c r="I2" s="139"/>
      <c r="J2" s="139"/>
      <c r="K2" s="139"/>
    </row>
    <row r="3" spans="1:15" ht="72.75" customHeight="1">
      <c r="A3" s="41" t="s">
        <v>1</v>
      </c>
      <c r="B3" s="41" t="s">
        <v>2</v>
      </c>
      <c r="C3" s="41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</row>
    <row r="4" spans="1:15" ht="15.95" customHeight="1">
      <c r="A4">
        <v>1</v>
      </c>
      <c r="B4" s="48" t="s">
        <v>12</v>
      </c>
      <c r="C4" s="35" t="s">
        <v>13</v>
      </c>
      <c r="D4" s="36">
        <v>589</v>
      </c>
      <c r="E4" s="37">
        <v>0</v>
      </c>
      <c r="F4" s="38">
        <v>0</v>
      </c>
      <c r="G4" s="38">
        <v>0</v>
      </c>
      <c r="H4" s="39">
        <v>0</v>
      </c>
      <c r="I4" s="38">
        <v>0</v>
      </c>
      <c r="J4" s="37">
        <v>0</v>
      </c>
      <c r="K4" s="40">
        <v>0</v>
      </c>
    </row>
    <row r="5" spans="1:15" ht="15.95" customHeight="1">
      <c r="A5">
        <v>1</v>
      </c>
      <c r="B5" s="49" t="s">
        <v>14</v>
      </c>
      <c r="C5" s="29" t="s">
        <v>15</v>
      </c>
      <c r="D5" s="30">
        <v>563</v>
      </c>
      <c r="E5" s="31">
        <v>0</v>
      </c>
      <c r="F5" s="32">
        <v>0</v>
      </c>
      <c r="G5" s="32">
        <v>0</v>
      </c>
      <c r="H5" s="33">
        <v>0</v>
      </c>
      <c r="I5" s="32">
        <v>0</v>
      </c>
      <c r="J5" s="31">
        <v>0</v>
      </c>
      <c r="K5" s="34">
        <v>0</v>
      </c>
    </row>
    <row r="6" spans="1:15" ht="15.95" customHeight="1">
      <c r="A6">
        <v>1</v>
      </c>
      <c r="B6" s="49" t="s">
        <v>16</v>
      </c>
      <c r="C6" s="29" t="s">
        <v>17</v>
      </c>
      <c r="D6" s="30">
        <v>789</v>
      </c>
      <c r="E6" s="31">
        <v>0</v>
      </c>
      <c r="F6" s="32">
        <v>0</v>
      </c>
      <c r="G6" s="50">
        <v>0</v>
      </c>
      <c r="H6" s="33">
        <v>1</v>
      </c>
      <c r="I6" s="32">
        <v>1</v>
      </c>
      <c r="J6" s="50">
        <v>3</v>
      </c>
      <c r="K6" s="34">
        <v>3</v>
      </c>
      <c r="O6" s="28" t="s">
        <v>18</v>
      </c>
    </row>
    <row r="7" spans="1:15" ht="15.95" customHeight="1">
      <c r="A7">
        <v>1</v>
      </c>
      <c r="B7" s="49" t="s">
        <v>19</v>
      </c>
      <c r="C7" s="29" t="s">
        <v>20</v>
      </c>
      <c r="D7" s="30">
        <v>761</v>
      </c>
      <c r="E7" s="31">
        <v>5</v>
      </c>
      <c r="F7" s="50">
        <v>35</v>
      </c>
      <c r="G7" s="50">
        <v>69</v>
      </c>
      <c r="H7" s="51">
        <v>113</v>
      </c>
      <c r="I7" s="50">
        <v>143</v>
      </c>
      <c r="J7" s="50">
        <v>204</v>
      </c>
      <c r="K7" s="52">
        <v>108</v>
      </c>
    </row>
    <row r="8" spans="1:15" ht="15.95" customHeight="1">
      <c r="A8">
        <v>1</v>
      </c>
      <c r="B8" s="49" t="s">
        <v>21</v>
      </c>
      <c r="C8" s="29" t="s">
        <v>22</v>
      </c>
      <c r="D8" s="30">
        <v>761</v>
      </c>
      <c r="E8" s="31">
        <v>52</v>
      </c>
      <c r="F8" s="32">
        <v>139</v>
      </c>
      <c r="G8" s="50">
        <v>152</v>
      </c>
      <c r="H8" s="51">
        <v>199</v>
      </c>
      <c r="I8" s="50">
        <v>183</v>
      </c>
      <c r="J8" s="50">
        <v>283</v>
      </c>
      <c r="K8" s="34">
        <v>184</v>
      </c>
    </row>
    <row r="9" spans="1:15" ht="15.95" customHeight="1">
      <c r="A9">
        <v>1</v>
      </c>
      <c r="B9" s="49" t="s">
        <v>23</v>
      </c>
      <c r="C9" s="29" t="s">
        <v>24</v>
      </c>
      <c r="D9" s="30">
        <v>1223</v>
      </c>
      <c r="E9" s="31">
        <v>70</v>
      </c>
      <c r="F9" s="32">
        <v>67</v>
      </c>
      <c r="G9" s="32">
        <v>77</v>
      </c>
      <c r="H9" s="33">
        <v>96</v>
      </c>
      <c r="I9" s="32">
        <v>89</v>
      </c>
      <c r="J9" s="31">
        <v>128</v>
      </c>
      <c r="K9" s="34">
        <v>60</v>
      </c>
    </row>
    <row r="10" spans="1:15" ht="15.95" customHeight="1">
      <c r="A10">
        <v>2</v>
      </c>
      <c r="B10" s="29" t="s">
        <v>25</v>
      </c>
      <c r="C10" s="29" t="s">
        <v>26</v>
      </c>
      <c r="D10" s="30">
        <v>790</v>
      </c>
      <c r="E10" s="31">
        <v>2</v>
      </c>
      <c r="F10" s="32">
        <v>4</v>
      </c>
      <c r="G10" s="32">
        <v>6</v>
      </c>
      <c r="H10" s="33">
        <v>2</v>
      </c>
      <c r="I10" s="32">
        <v>1</v>
      </c>
      <c r="J10" s="31">
        <v>1</v>
      </c>
      <c r="K10" s="34">
        <v>0</v>
      </c>
    </row>
    <row r="11" spans="1:15" ht="15.95" customHeight="1">
      <c r="A11">
        <v>2</v>
      </c>
      <c r="B11" s="29" t="s">
        <v>27</v>
      </c>
      <c r="C11" s="29" t="s">
        <v>28</v>
      </c>
      <c r="D11" s="30">
        <v>729</v>
      </c>
      <c r="E11" s="31">
        <v>10</v>
      </c>
      <c r="F11" s="32">
        <v>158</v>
      </c>
      <c r="G11" s="32">
        <v>227</v>
      </c>
      <c r="H11" s="33">
        <v>338</v>
      </c>
      <c r="I11" s="32">
        <v>278</v>
      </c>
      <c r="J11" s="31">
        <v>361</v>
      </c>
      <c r="K11" s="34">
        <v>201</v>
      </c>
    </row>
    <row r="12" spans="1:15" ht="15.95" customHeight="1">
      <c r="A12">
        <v>2</v>
      </c>
      <c r="B12" s="29" t="s">
        <v>29</v>
      </c>
      <c r="C12" s="29" t="s">
        <v>30</v>
      </c>
      <c r="D12" s="30">
        <v>458</v>
      </c>
      <c r="E12" s="31">
        <v>11</v>
      </c>
      <c r="F12" s="32">
        <v>7</v>
      </c>
      <c r="G12" s="32">
        <v>8</v>
      </c>
      <c r="H12" s="33">
        <v>182</v>
      </c>
      <c r="I12" s="32">
        <v>134</v>
      </c>
      <c r="J12" s="31">
        <v>186</v>
      </c>
      <c r="K12" s="34">
        <v>128</v>
      </c>
    </row>
    <row r="13" spans="1:15" ht="15.95" customHeight="1">
      <c r="A13">
        <v>2</v>
      </c>
      <c r="B13" s="29" t="s">
        <v>31</v>
      </c>
      <c r="C13" s="29" t="s">
        <v>32</v>
      </c>
      <c r="D13" s="30">
        <v>709</v>
      </c>
      <c r="E13" s="31">
        <v>14</v>
      </c>
      <c r="F13" s="32">
        <v>77</v>
      </c>
      <c r="G13" s="32">
        <v>147</v>
      </c>
      <c r="H13" s="33">
        <v>189</v>
      </c>
      <c r="I13" s="32">
        <v>138</v>
      </c>
      <c r="J13" s="31">
        <v>242</v>
      </c>
      <c r="K13" s="34">
        <v>128</v>
      </c>
    </row>
    <row r="14" spans="1:15" ht="15.95" customHeight="1">
      <c r="A14">
        <v>2</v>
      </c>
      <c r="B14" s="29" t="s">
        <v>33</v>
      </c>
      <c r="C14" s="29" t="s">
        <v>34</v>
      </c>
      <c r="D14" s="30">
        <v>663</v>
      </c>
      <c r="E14" s="31">
        <v>48</v>
      </c>
      <c r="F14" s="32">
        <v>154</v>
      </c>
      <c r="G14" s="32">
        <v>199</v>
      </c>
      <c r="H14" s="33">
        <v>338</v>
      </c>
      <c r="I14" s="32">
        <v>223</v>
      </c>
      <c r="J14" s="31">
        <v>409</v>
      </c>
      <c r="K14" s="34">
        <v>239</v>
      </c>
    </row>
    <row r="15" spans="1:15" ht="15.95" customHeight="1">
      <c r="A15">
        <v>2</v>
      </c>
      <c r="B15" s="29" t="s">
        <v>35</v>
      </c>
      <c r="C15" s="29" t="s">
        <v>36</v>
      </c>
      <c r="D15" s="30">
        <v>646</v>
      </c>
      <c r="E15" s="31">
        <v>49</v>
      </c>
      <c r="F15" s="32">
        <v>179</v>
      </c>
      <c r="G15" s="32">
        <v>232</v>
      </c>
      <c r="H15" s="33">
        <v>278</v>
      </c>
      <c r="I15" s="32">
        <v>238</v>
      </c>
      <c r="J15" s="31">
        <v>371</v>
      </c>
      <c r="K15" s="34">
        <v>183</v>
      </c>
    </row>
    <row r="16" spans="1:15" ht="15.95" customHeight="1">
      <c r="A16">
        <v>2</v>
      </c>
      <c r="B16" s="29" t="s">
        <v>37</v>
      </c>
      <c r="C16" s="29" t="s">
        <v>38</v>
      </c>
      <c r="D16" s="30">
        <v>897</v>
      </c>
      <c r="E16" s="31">
        <v>50</v>
      </c>
      <c r="F16" s="32">
        <v>290</v>
      </c>
      <c r="G16" s="32">
        <v>349</v>
      </c>
      <c r="H16" s="33">
        <v>363</v>
      </c>
      <c r="I16" s="32">
        <v>302</v>
      </c>
      <c r="J16" s="31">
        <v>451</v>
      </c>
      <c r="K16" s="34">
        <v>236</v>
      </c>
    </row>
    <row r="17" spans="1:11" ht="15.95" customHeight="1">
      <c r="A17">
        <v>2</v>
      </c>
      <c r="B17" s="29" t="s">
        <v>39</v>
      </c>
      <c r="C17" s="29" t="s">
        <v>40</v>
      </c>
      <c r="D17" s="30">
        <v>661</v>
      </c>
      <c r="E17" s="31">
        <v>63</v>
      </c>
      <c r="F17" s="32">
        <v>142</v>
      </c>
      <c r="G17" s="32">
        <v>242</v>
      </c>
      <c r="H17" s="33">
        <v>280</v>
      </c>
      <c r="I17" s="32">
        <v>168</v>
      </c>
      <c r="J17" s="31">
        <v>365</v>
      </c>
      <c r="K17" s="34">
        <v>187</v>
      </c>
    </row>
    <row r="18" spans="1:11" ht="15.95" customHeight="1">
      <c r="A18">
        <v>3</v>
      </c>
      <c r="B18" s="29" t="s">
        <v>41</v>
      </c>
      <c r="C18" s="29" t="s">
        <v>42</v>
      </c>
      <c r="D18" s="30">
        <v>711</v>
      </c>
      <c r="E18" s="31">
        <v>29</v>
      </c>
      <c r="F18" s="32">
        <v>147</v>
      </c>
      <c r="G18" s="32">
        <v>259</v>
      </c>
      <c r="H18" s="33">
        <v>360</v>
      </c>
      <c r="I18" s="32">
        <v>240</v>
      </c>
      <c r="J18" s="31">
        <v>375</v>
      </c>
      <c r="K18" s="34">
        <v>211</v>
      </c>
    </row>
    <row r="19" spans="1:11" ht="15.95" customHeight="1">
      <c r="A19">
        <v>3</v>
      </c>
      <c r="B19" s="29" t="s">
        <v>43</v>
      </c>
      <c r="C19" s="29" t="s">
        <v>44</v>
      </c>
      <c r="D19" s="30">
        <v>909</v>
      </c>
      <c r="E19" s="31">
        <v>47</v>
      </c>
      <c r="F19" s="32">
        <v>261</v>
      </c>
      <c r="G19" s="32">
        <v>311</v>
      </c>
      <c r="H19" s="33">
        <v>420</v>
      </c>
      <c r="I19" s="32">
        <v>318</v>
      </c>
      <c r="J19" s="31">
        <v>436</v>
      </c>
      <c r="K19" s="34">
        <v>263</v>
      </c>
    </row>
    <row r="20" spans="1:11" ht="15.95" customHeight="1">
      <c r="A20">
        <v>3</v>
      </c>
      <c r="B20" s="29" t="s">
        <v>45</v>
      </c>
      <c r="C20" s="29" t="s">
        <v>46</v>
      </c>
      <c r="D20" s="30">
        <v>758</v>
      </c>
      <c r="E20" s="31">
        <v>68</v>
      </c>
      <c r="F20" s="32">
        <v>239</v>
      </c>
      <c r="G20" s="32">
        <v>244</v>
      </c>
      <c r="H20" s="33">
        <v>406</v>
      </c>
      <c r="I20" s="32">
        <v>288</v>
      </c>
      <c r="J20" s="31">
        <v>428</v>
      </c>
      <c r="K20" s="34">
        <v>237</v>
      </c>
    </row>
    <row r="21" spans="1:11" ht="15.95" customHeight="1">
      <c r="A21">
        <v>3</v>
      </c>
      <c r="B21" s="29" t="s">
        <v>47</v>
      </c>
      <c r="C21" s="29" t="s">
        <v>48</v>
      </c>
      <c r="D21" s="30">
        <v>708</v>
      </c>
      <c r="E21" s="31">
        <v>133</v>
      </c>
      <c r="F21" s="32">
        <v>261</v>
      </c>
      <c r="G21" s="32">
        <v>317</v>
      </c>
      <c r="H21" s="33">
        <v>334</v>
      </c>
      <c r="I21" s="32">
        <v>272</v>
      </c>
      <c r="J21" s="31">
        <v>344</v>
      </c>
      <c r="K21" s="34">
        <v>229</v>
      </c>
    </row>
    <row r="22" spans="1:11" ht="15.95" customHeight="1">
      <c r="A22">
        <v>3</v>
      </c>
      <c r="B22" s="29" t="s">
        <v>49</v>
      </c>
      <c r="C22" s="29" t="s">
        <v>50</v>
      </c>
      <c r="D22" s="30">
        <v>1033</v>
      </c>
      <c r="E22" s="31">
        <v>146</v>
      </c>
      <c r="F22" s="32">
        <v>277</v>
      </c>
      <c r="G22" s="32">
        <v>311</v>
      </c>
      <c r="H22" s="33">
        <v>409</v>
      </c>
      <c r="I22" s="32">
        <v>338</v>
      </c>
      <c r="J22" s="31">
        <v>375</v>
      </c>
      <c r="K22" s="34">
        <v>332</v>
      </c>
    </row>
    <row r="23" spans="1:11" ht="15.95" customHeight="1">
      <c r="A23">
        <v>3</v>
      </c>
      <c r="B23" s="29" t="s">
        <v>51</v>
      </c>
      <c r="C23" s="29" t="s">
        <v>52</v>
      </c>
      <c r="D23" s="30">
        <v>1045</v>
      </c>
      <c r="E23" s="31">
        <v>181</v>
      </c>
      <c r="F23" s="32">
        <v>297</v>
      </c>
      <c r="G23" s="32">
        <v>357</v>
      </c>
      <c r="H23" s="33">
        <v>430</v>
      </c>
      <c r="I23" s="32">
        <v>380</v>
      </c>
      <c r="J23" s="31">
        <v>441</v>
      </c>
      <c r="K23" s="34">
        <v>314</v>
      </c>
    </row>
    <row r="24" spans="1:11" ht="15.95" customHeight="1">
      <c r="A24">
        <v>4</v>
      </c>
      <c r="B24" s="29" t="s">
        <v>53</v>
      </c>
      <c r="C24" s="29" t="s">
        <v>54</v>
      </c>
      <c r="D24" s="30">
        <v>740</v>
      </c>
      <c r="E24" s="31">
        <v>21</v>
      </c>
      <c r="F24" s="32">
        <v>47</v>
      </c>
      <c r="G24" s="32">
        <v>92</v>
      </c>
      <c r="H24" s="33">
        <v>158</v>
      </c>
      <c r="I24" s="32">
        <v>102</v>
      </c>
      <c r="J24" s="31">
        <v>145</v>
      </c>
      <c r="K24" s="34">
        <v>94</v>
      </c>
    </row>
    <row r="25" spans="1:11" ht="15.95" customHeight="1">
      <c r="A25">
        <v>4</v>
      </c>
      <c r="B25" s="29" t="s">
        <v>55</v>
      </c>
      <c r="C25" s="29" t="s">
        <v>56</v>
      </c>
      <c r="D25" s="30">
        <v>1043</v>
      </c>
      <c r="E25" s="32">
        <v>53</v>
      </c>
      <c r="F25" s="32">
        <v>260</v>
      </c>
      <c r="G25" s="32">
        <v>387</v>
      </c>
      <c r="H25" s="33">
        <v>538</v>
      </c>
      <c r="I25" s="32">
        <v>377</v>
      </c>
      <c r="J25" s="31">
        <v>570</v>
      </c>
      <c r="K25" s="34">
        <v>254</v>
      </c>
    </row>
    <row r="26" spans="1:11" ht="15.95" customHeight="1">
      <c r="A26">
        <v>4</v>
      </c>
      <c r="B26" s="29" t="s">
        <v>57</v>
      </c>
      <c r="C26" s="29" t="s">
        <v>58</v>
      </c>
      <c r="D26" s="30">
        <v>865</v>
      </c>
      <c r="E26" s="31">
        <v>73</v>
      </c>
      <c r="F26" s="32">
        <v>267</v>
      </c>
      <c r="G26" s="32">
        <v>314</v>
      </c>
      <c r="H26" s="33">
        <v>408</v>
      </c>
      <c r="I26" s="32">
        <v>307</v>
      </c>
      <c r="J26" s="31">
        <v>468</v>
      </c>
      <c r="K26" s="34">
        <v>251</v>
      </c>
    </row>
    <row r="27" spans="1:11" ht="15.95" customHeight="1">
      <c r="A27">
        <v>4</v>
      </c>
      <c r="B27" s="29" t="s">
        <v>59</v>
      </c>
      <c r="C27" s="29" t="s">
        <v>60</v>
      </c>
      <c r="D27" s="30">
        <v>897</v>
      </c>
      <c r="E27" s="31">
        <v>108</v>
      </c>
      <c r="F27" s="32">
        <v>200</v>
      </c>
      <c r="G27" s="32">
        <v>231</v>
      </c>
      <c r="H27" s="33">
        <v>360</v>
      </c>
      <c r="I27" s="32">
        <v>287</v>
      </c>
      <c r="J27" s="31">
        <v>413</v>
      </c>
      <c r="K27" s="34">
        <v>274</v>
      </c>
    </row>
    <row r="28" spans="1:11" ht="15.95" customHeight="1">
      <c r="A28">
        <v>4</v>
      </c>
      <c r="B28" s="29" t="s">
        <v>61</v>
      </c>
      <c r="C28" s="29" t="s">
        <v>62</v>
      </c>
      <c r="D28" s="30">
        <v>971</v>
      </c>
      <c r="E28" s="31">
        <v>109</v>
      </c>
      <c r="F28" s="32">
        <v>303</v>
      </c>
      <c r="G28" s="32">
        <v>370</v>
      </c>
      <c r="H28" s="33">
        <v>454</v>
      </c>
      <c r="I28" s="32">
        <v>299</v>
      </c>
      <c r="J28" s="31">
        <v>391</v>
      </c>
      <c r="K28" s="34">
        <v>252</v>
      </c>
    </row>
    <row r="29" spans="1:11" ht="15.95" customHeight="1">
      <c r="A29">
        <v>4</v>
      </c>
      <c r="B29" s="29" t="s">
        <v>63</v>
      </c>
      <c r="C29" s="29" t="s">
        <v>64</v>
      </c>
      <c r="D29" s="30">
        <v>783</v>
      </c>
      <c r="E29" s="31">
        <v>127</v>
      </c>
      <c r="F29" s="32">
        <v>208</v>
      </c>
      <c r="G29" s="32">
        <v>228</v>
      </c>
      <c r="H29" s="33">
        <v>325</v>
      </c>
      <c r="I29" s="32">
        <v>278</v>
      </c>
      <c r="J29" s="31">
        <v>330</v>
      </c>
      <c r="K29" s="34">
        <v>236</v>
      </c>
    </row>
    <row r="30" spans="1:11" ht="15.95" customHeight="1">
      <c r="A30">
        <v>4</v>
      </c>
      <c r="B30" s="29" t="s">
        <v>65</v>
      </c>
      <c r="C30" s="29" t="s">
        <v>66</v>
      </c>
      <c r="D30" s="30">
        <v>780</v>
      </c>
      <c r="E30" s="31">
        <v>200</v>
      </c>
      <c r="F30" s="32">
        <v>329</v>
      </c>
      <c r="G30" s="32">
        <v>381</v>
      </c>
      <c r="H30" s="33">
        <v>507</v>
      </c>
      <c r="I30" s="32">
        <v>390</v>
      </c>
      <c r="J30" s="31">
        <v>474</v>
      </c>
      <c r="K30" s="34">
        <v>365</v>
      </c>
    </row>
    <row r="31" spans="1:11" ht="15.95" customHeight="1">
      <c r="A31">
        <v>5</v>
      </c>
      <c r="B31" s="29" t="s">
        <v>67</v>
      </c>
      <c r="C31" s="29" t="s">
        <v>68</v>
      </c>
      <c r="D31" s="30">
        <v>567</v>
      </c>
      <c r="E31" s="31">
        <v>14</v>
      </c>
      <c r="F31" s="32">
        <v>177</v>
      </c>
      <c r="G31" s="32">
        <v>189</v>
      </c>
      <c r="H31" s="33">
        <v>220</v>
      </c>
      <c r="I31" s="32">
        <v>210</v>
      </c>
      <c r="J31" s="31">
        <v>233</v>
      </c>
      <c r="K31" s="34">
        <v>136</v>
      </c>
    </row>
    <row r="32" spans="1:11" ht="15.95" customHeight="1">
      <c r="A32">
        <v>5</v>
      </c>
      <c r="B32" s="29" t="s">
        <v>69</v>
      </c>
      <c r="C32" s="29" t="s">
        <v>70</v>
      </c>
      <c r="D32" s="30">
        <v>936</v>
      </c>
      <c r="E32" s="31">
        <v>25</v>
      </c>
      <c r="F32" s="32">
        <v>118</v>
      </c>
      <c r="G32" s="32">
        <v>190</v>
      </c>
      <c r="H32" s="33">
        <v>243</v>
      </c>
      <c r="I32" s="32">
        <v>213</v>
      </c>
      <c r="J32" s="31">
        <v>299</v>
      </c>
      <c r="K32" s="34">
        <v>138</v>
      </c>
    </row>
    <row r="33" spans="1:11" ht="15.95" customHeight="1">
      <c r="A33">
        <v>5</v>
      </c>
      <c r="B33" s="29" t="s">
        <v>71</v>
      </c>
      <c r="C33" s="29" t="s">
        <v>72</v>
      </c>
      <c r="D33" s="30">
        <v>1247</v>
      </c>
      <c r="E33" s="31">
        <v>28</v>
      </c>
      <c r="F33" s="32">
        <v>114</v>
      </c>
      <c r="G33" s="32">
        <v>147</v>
      </c>
      <c r="H33" s="33">
        <v>369</v>
      </c>
      <c r="I33" s="32">
        <v>380</v>
      </c>
      <c r="J33" s="31">
        <v>444</v>
      </c>
      <c r="K33" s="34">
        <v>238</v>
      </c>
    </row>
    <row r="34" spans="1:11" ht="15.95" customHeight="1">
      <c r="A34">
        <v>5</v>
      </c>
      <c r="B34" s="29" t="s">
        <v>73</v>
      </c>
      <c r="C34" s="29" t="s">
        <v>74</v>
      </c>
      <c r="D34" s="30">
        <v>1415</v>
      </c>
      <c r="E34" s="31">
        <v>50</v>
      </c>
      <c r="F34" s="32">
        <v>252</v>
      </c>
      <c r="G34" s="32">
        <v>382</v>
      </c>
      <c r="H34" s="33">
        <v>545</v>
      </c>
      <c r="I34" s="32">
        <v>367</v>
      </c>
      <c r="J34" s="31">
        <v>520</v>
      </c>
      <c r="K34" s="34">
        <v>289</v>
      </c>
    </row>
    <row r="35" spans="1:11" ht="15.95" customHeight="1">
      <c r="A35">
        <v>5</v>
      </c>
      <c r="B35" s="29" t="s">
        <v>75</v>
      </c>
      <c r="C35" s="29" t="s">
        <v>76</v>
      </c>
      <c r="D35" s="30">
        <v>903</v>
      </c>
      <c r="E35" s="31">
        <v>60</v>
      </c>
      <c r="F35" s="32">
        <v>308</v>
      </c>
      <c r="G35" s="32">
        <v>299</v>
      </c>
      <c r="H35" s="33">
        <v>550</v>
      </c>
      <c r="I35" s="32">
        <v>405</v>
      </c>
      <c r="J35" s="31">
        <v>573</v>
      </c>
      <c r="K35" s="34">
        <v>281</v>
      </c>
    </row>
    <row r="36" spans="1:11" ht="15.95" customHeight="1">
      <c r="A36">
        <v>5</v>
      </c>
      <c r="B36" s="29" t="s">
        <v>77</v>
      </c>
      <c r="C36" s="29" t="s">
        <v>78</v>
      </c>
      <c r="D36" s="30">
        <v>632</v>
      </c>
      <c r="E36" s="31">
        <v>88</v>
      </c>
      <c r="F36" s="32">
        <v>234</v>
      </c>
      <c r="G36" s="32">
        <v>248</v>
      </c>
      <c r="H36" s="33">
        <v>369</v>
      </c>
      <c r="I36" s="32">
        <v>239</v>
      </c>
      <c r="J36" s="31">
        <v>341</v>
      </c>
      <c r="K36" s="34">
        <v>246</v>
      </c>
    </row>
    <row r="37" spans="1:11" ht="15.95" customHeight="1">
      <c r="A37">
        <v>6</v>
      </c>
      <c r="B37" s="29" t="s">
        <v>79</v>
      </c>
      <c r="C37" s="29" t="s">
        <v>80</v>
      </c>
      <c r="D37" s="30">
        <v>516</v>
      </c>
      <c r="E37" s="31">
        <v>0</v>
      </c>
      <c r="F37" s="32">
        <v>0</v>
      </c>
      <c r="G37" s="32">
        <v>0</v>
      </c>
      <c r="H37" s="33">
        <v>4</v>
      </c>
      <c r="I37" s="32">
        <v>2</v>
      </c>
      <c r="J37" s="31">
        <v>3</v>
      </c>
      <c r="K37" s="34">
        <v>4</v>
      </c>
    </row>
    <row r="38" spans="1:11" ht="15.95" customHeight="1">
      <c r="A38">
        <v>6</v>
      </c>
      <c r="B38" s="29" t="s">
        <v>81</v>
      </c>
      <c r="C38" s="29" t="s">
        <v>82</v>
      </c>
      <c r="D38" s="30">
        <v>857</v>
      </c>
      <c r="E38" s="31">
        <v>0</v>
      </c>
      <c r="F38" s="32">
        <v>0</v>
      </c>
      <c r="G38" s="32">
        <v>0</v>
      </c>
      <c r="H38" s="33">
        <v>0</v>
      </c>
      <c r="I38" s="32">
        <v>0</v>
      </c>
      <c r="J38" s="31">
        <v>0</v>
      </c>
      <c r="K38" s="34">
        <v>0</v>
      </c>
    </row>
    <row r="39" spans="1:11" ht="15.95" customHeight="1">
      <c r="A39">
        <v>6</v>
      </c>
      <c r="B39" s="29" t="s">
        <v>83</v>
      </c>
      <c r="C39" s="29" t="s">
        <v>84</v>
      </c>
      <c r="D39" s="30">
        <v>552</v>
      </c>
      <c r="E39" s="31">
        <v>0</v>
      </c>
      <c r="F39" s="32">
        <v>0</v>
      </c>
      <c r="G39" s="32">
        <v>0</v>
      </c>
      <c r="H39" s="33">
        <v>0</v>
      </c>
      <c r="I39" s="32">
        <v>0</v>
      </c>
      <c r="J39" s="31">
        <v>0</v>
      </c>
      <c r="K39" s="34">
        <v>0</v>
      </c>
    </row>
    <row r="40" spans="1:11" ht="15.95" customHeight="1">
      <c r="A40">
        <v>6</v>
      </c>
      <c r="B40" s="29" t="s">
        <v>85</v>
      </c>
      <c r="C40" s="29" t="s">
        <v>86</v>
      </c>
      <c r="D40" s="30">
        <v>752</v>
      </c>
      <c r="E40" s="31">
        <v>22</v>
      </c>
      <c r="F40" s="32">
        <v>99</v>
      </c>
      <c r="G40" s="32">
        <v>153</v>
      </c>
      <c r="H40" s="33">
        <v>212</v>
      </c>
      <c r="I40" s="32">
        <v>90</v>
      </c>
      <c r="J40" s="31">
        <v>152</v>
      </c>
      <c r="K40" s="34">
        <v>85</v>
      </c>
    </row>
    <row r="41" spans="1:11" ht="15.95" customHeight="1">
      <c r="A41">
        <v>6</v>
      </c>
      <c r="B41" s="29" t="s">
        <v>87</v>
      </c>
      <c r="C41" s="29" t="s">
        <v>88</v>
      </c>
      <c r="D41" s="30">
        <v>567</v>
      </c>
      <c r="E41" s="31">
        <v>39</v>
      </c>
      <c r="F41" s="32">
        <v>61</v>
      </c>
      <c r="G41" s="32">
        <v>89</v>
      </c>
      <c r="H41" s="33">
        <v>74</v>
      </c>
      <c r="I41" s="32">
        <v>54</v>
      </c>
      <c r="J41" s="31">
        <v>57</v>
      </c>
      <c r="K41" s="34">
        <v>55</v>
      </c>
    </row>
    <row r="42" spans="1:11" ht="15.95" customHeight="1">
      <c r="A42">
        <v>6</v>
      </c>
      <c r="B42" s="29" t="s">
        <v>89</v>
      </c>
      <c r="C42" s="29" t="s">
        <v>90</v>
      </c>
      <c r="D42" s="30">
        <v>686</v>
      </c>
      <c r="E42" s="31">
        <v>77</v>
      </c>
      <c r="F42" s="32">
        <v>157</v>
      </c>
      <c r="G42" s="32">
        <v>203</v>
      </c>
      <c r="H42" s="33">
        <v>291</v>
      </c>
      <c r="I42" s="32">
        <v>219</v>
      </c>
      <c r="J42" s="31">
        <v>272</v>
      </c>
      <c r="K42" s="34">
        <v>205</v>
      </c>
    </row>
    <row r="43" spans="1:11" ht="15.95" customHeight="1">
      <c r="A43">
        <v>7</v>
      </c>
      <c r="B43" s="29" t="s">
        <v>91</v>
      </c>
      <c r="C43" s="29" t="s">
        <v>92</v>
      </c>
      <c r="D43" s="30">
        <v>593</v>
      </c>
      <c r="E43" s="31">
        <v>24</v>
      </c>
      <c r="F43" s="32">
        <v>55</v>
      </c>
      <c r="G43" s="32">
        <v>73</v>
      </c>
      <c r="H43" s="33">
        <v>109</v>
      </c>
      <c r="I43" s="32">
        <v>55</v>
      </c>
      <c r="J43" s="31">
        <v>193</v>
      </c>
      <c r="K43" s="34">
        <v>66</v>
      </c>
    </row>
    <row r="44" spans="1:11" ht="15.95" customHeight="1">
      <c r="A44">
        <v>7</v>
      </c>
      <c r="B44" s="29" t="s">
        <v>93</v>
      </c>
      <c r="C44" s="29" t="s">
        <v>94</v>
      </c>
      <c r="D44" s="30">
        <v>672</v>
      </c>
      <c r="E44" s="31">
        <v>26</v>
      </c>
      <c r="F44" s="32">
        <v>167</v>
      </c>
      <c r="G44" s="32">
        <v>251</v>
      </c>
      <c r="H44" s="33">
        <v>326</v>
      </c>
      <c r="I44" s="32">
        <v>236</v>
      </c>
      <c r="J44" s="31">
        <v>347</v>
      </c>
      <c r="K44" s="34">
        <v>179</v>
      </c>
    </row>
    <row r="45" spans="1:11" ht="15.95" customHeight="1">
      <c r="A45">
        <v>7</v>
      </c>
      <c r="B45" s="29" t="s">
        <v>95</v>
      </c>
      <c r="C45" s="29" t="s">
        <v>96</v>
      </c>
      <c r="D45" s="30">
        <v>779</v>
      </c>
      <c r="E45" s="31">
        <v>67</v>
      </c>
      <c r="F45" s="32">
        <v>159</v>
      </c>
      <c r="G45" s="32">
        <v>201</v>
      </c>
      <c r="H45" s="33">
        <v>310</v>
      </c>
      <c r="I45" s="32">
        <v>222</v>
      </c>
      <c r="J45" s="31">
        <v>397</v>
      </c>
      <c r="K45" s="34">
        <v>205</v>
      </c>
    </row>
    <row r="46" spans="1:11" ht="15.95" customHeight="1">
      <c r="A46">
        <v>7</v>
      </c>
      <c r="B46" s="46" t="s">
        <v>97</v>
      </c>
      <c r="C46" s="47" t="s">
        <v>98</v>
      </c>
      <c r="D46" s="30">
        <v>767</v>
      </c>
      <c r="E46" s="31">
        <v>68</v>
      </c>
      <c r="F46" s="32">
        <v>228</v>
      </c>
      <c r="G46" s="32">
        <v>226</v>
      </c>
      <c r="H46" s="33">
        <v>299</v>
      </c>
      <c r="I46" s="32">
        <v>235</v>
      </c>
      <c r="J46" s="31">
        <v>311</v>
      </c>
      <c r="K46" s="34">
        <v>212</v>
      </c>
    </row>
    <row r="47" spans="1:11" ht="15.75">
      <c r="B47" s="43"/>
      <c r="C47" s="43"/>
      <c r="D47" s="44"/>
      <c r="E47" s="45">
        <f>SUBTOTAL(109,Tabla13[Estado Civil])</f>
        <v>2257</v>
      </c>
      <c r="F47" s="45">
        <f>SUBTOTAL(109,Tabla13[[Formación académica ]])</f>
        <v>6477</v>
      </c>
      <c r="G47" s="45">
        <f>SUBTOTAL(109,Tabla13[Profesión/ocupación])</f>
        <v>8161</v>
      </c>
      <c r="H47" s="45">
        <f>SUBTOTAL(109,Tabla13[Religión Anterior])</f>
        <v>11409</v>
      </c>
      <c r="I47" s="45">
        <f>SUBTOTAL(109,Tabla13[¿Cómo conocio la IASD?])</f>
        <v>8701</v>
      </c>
      <c r="J47" s="45">
        <f>SUBTOTAL(109,Tabla13[¿Cómo estudiaste la Biblia?])</f>
        <v>12336</v>
      </c>
      <c r="K47" s="45">
        <f>SUBTOTAL(109,Tabla13[¿Cuál fue el factor decisivo para que sea bautizado?])</f>
        <v>7308</v>
      </c>
    </row>
    <row r="48" spans="1:11" ht="18.75">
      <c r="B48" s="25"/>
      <c r="C48" s="25"/>
      <c r="D48" s="26"/>
      <c r="E48" s="26"/>
      <c r="F48" s="26"/>
      <c r="G48" s="26"/>
      <c r="H48" s="26"/>
      <c r="I48" s="26"/>
      <c r="J48" s="26"/>
      <c r="K48" s="26"/>
    </row>
    <row r="49" spans="6:11">
      <c r="F49" s="27"/>
      <c r="G49" s="27"/>
      <c r="H49" s="27"/>
      <c r="I49" s="28"/>
      <c r="J49" s="27"/>
      <c r="K49" s="28"/>
    </row>
    <row r="50" spans="6:11">
      <c r="I50" s="1"/>
      <c r="K50" s="1"/>
    </row>
  </sheetData>
  <mergeCells count="2">
    <mergeCell ref="B1:K1"/>
    <mergeCell ref="B2:K2"/>
  </mergeCells>
  <conditionalFormatting sqref="B4:C46 E4:K4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K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K4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K4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3622047244094491" right="0.23622047244094491" top="0.35433070866141736" bottom="0.35433070866141736" header="0.31496062992125984" footer="0.31496062992125984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7789-81C3-496A-B7C2-B58E1ECE4FE3}">
  <sheetPr>
    <tabColor rgb="FF92D050"/>
  </sheetPr>
  <dimension ref="A1:U159"/>
  <sheetViews>
    <sheetView tabSelected="1" zoomScale="85" zoomScaleNormal="85" workbookViewId="0">
      <pane ySplit="5" topLeftCell="C6" activePane="bottomLeft" state="frozen"/>
      <selection pane="bottomLeft" activeCell="Y9" sqref="Y9"/>
    </sheetView>
  </sheetViews>
  <sheetFormatPr defaultColWidth="9.140625" defaultRowHeight="15"/>
  <cols>
    <col min="1" max="1" width="4.85546875" customWidth="1"/>
    <col min="2" max="2" width="3.42578125" style="1" customWidth="1"/>
    <col min="3" max="3" width="34.140625" bestFit="1" customWidth="1"/>
    <col min="4" max="4" width="35.42578125" customWidth="1"/>
    <col min="5" max="5" width="11.28515625" style="1" customWidth="1"/>
    <col min="6" max="6" width="9.85546875" style="1" customWidth="1"/>
    <col min="7" max="7" width="9.42578125" style="1" customWidth="1"/>
    <col min="8" max="8" width="6.28515625" style="1" customWidth="1"/>
    <col min="9" max="9" width="5.7109375" style="1" customWidth="1"/>
    <col min="10" max="10" width="7.42578125" customWidth="1"/>
    <col min="11" max="11" width="7.85546875" style="1" customWidth="1"/>
    <col min="12" max="12" width="7" customWidth="1"/>
    <col min="13" max="13" width="9.7109375" hidden="1" customWidth="1"/>
    <col min="14" max="14" width="13" style="82" customWidth="1"/>
    <col min="15" max="15" width="8.28515625" style="82" hidden="1" customWidth="1"/>
    <col min="16" max="16" width="17.7109375" customWidth="1"/>
    <col min="17" max="17" width="7.42578125" hidden="1" customWidth="1"/>
    <col min="20" max="20" width="11.7109375" customWidth="1"/>
    <col min="21" max="21" width="10.85546875" customWidth="1"/>
  </cols>
  <sheetData>
    <row r="1" spans="1:21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6"/>
      <c r="O1" s="126"/>
      <c r="P1" s="125"/>
      <c r="Q1" s="125"/>
    </row>
    <row r="2" spans="1:21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9"/>
      <c r="O2" s="79"/>
      <c r="P2" s="77"/>
      <c r="Q2" s="77"/>
    </row>
    <row r="3" spans="1:21" ht="18.75" customHeight="1">
      <c r="B3" s="76" t="s">
        <v>99</v>
      </c>
      <c r="C3" s="129" t="s">
        <v>99</v>
      </c>
      <c r="D3" s="130"/>
      <c r="E3" s="130"/>
      <c r="F3" s="130"/>
      <c r="G3" s="130"/>
      <c r="H3" s="130"/>
      <c r="I3" s="130"/>
      <c r="J3" s="130"/>
      <c r="K3" s="130"/>
      <c r="L3" s="130"/>
      <c r="M3" s="131"/>
      <c r="N3" s="127" t="s">
        <v>100</v>
      </c>
      <c r="O3" s="127"/>
      <c r="P3" s="128"/>
      <c r="Q3" s="128"/>
      <c r="R3" s="132" t="s">
        <v>101</v>
      </c>
      <c r="S3" s="132"/>
      <c r="T3" s="132" t="s">
        <v>102</v>
      </c>
      <c r="U3" s="132"/>
    </row>
    <row r="4" spans="1:21" ht="209.25" customHeight="1">
      <c r="B4" s="42" t="s">
        <v>1</v>
      </c>
      <c r="C4" s="41" t="s">
        <v>2</v>
      </c>
      <c r="D4" s="41" t="s">
        <v>3</v>
      </c>
      <c r="E4" s="42" t="s">
        <v>4</v>
      </c>
      <c r="F4" s="83" t="s">
        <v>5</v>
      </c>
      <c r="G4" s="83" t="s">
        <v>6</v>
      </c>
      <c r="H4" s="83" t="s">
        <v>7</v>
      </c>
      <c r="I4" s="83" t="s">
        <v>8</v>
      </c>
      <c r="J4" s="83" t="s">
        <v>9</v>
      </c>
      <c r="K4" s="83" t="s">
        <v>10</v>
      </c>
      <c r="L4" s="83" t="s">
        <v>11</v>
      </c>
      <c r="M4" s="42" t="s">
        <v>103</v>
      </c>
      <c r="N4" s="107" t="s">
        <v>104</v>
      </c>
      <c r="O4" s="80" t="s">
        <v>105</v>
      </c>
      <c r="P4" s="103" t="s">
        <v>106</v>
      </c>
      <c r="Q4" s="75" t="s">
        <v>107</v>
      </c>
      <c r="R4" s="106" t="s">
        <v>108</v>
      </c>
      <c r="S4" s="106" t="s">
        <v>109</v>
      </c>
      <c r="T4" s="104" t="s">
        <v>110</v>
      </c>
      <c r="U4" s="104" t="s">
        <v>111</v>
      </c>
    </row>
    <row r="5" spans="1:21" s="76" customFormat="1" ht="15.95" customHeight="1">
      <c r="A5" s="76">
        <v>1</v>
      </c>
      <c r="B5" s="113">
        <v>4</v>
      </c>
      <c r="C5" s="114" t="s">
        <v>63</v>
      </c>
      <c r="D5" s="119" t="s">
        <v>64</v>
      </c>
      <c r="E5" s="36">
        <v>738</v>
      </c>
      <c r="F5" s="117">
        <v>41</v>
      </c>
      <c r="G5" s="117">
        <v>75</v>
      </c>
      <c r="H5" s="117">
        <v>76</v>
      </c>
      <c r="I5" s="117">
        <v>114</v>
      </c>
      <c r="J5" s="117">
        <v>71</v>
      </c>
      <c r="K5" s="117">
        <v>97</v>
      </c>
      <c r="L5" s="118">
        <v>76</v>
      </c>
      <c r="M5" s="55">
        <f>SUM(Tabla1[[#This Row],[Estado Civil]:[¿Cuál fue el factor decisivo para que sea bautizado?]])</f>
        <v>550</v>
      </c>
      <c r="N5" s="98">
        <v>128</v>
      </c>
      <c r="O5" s="92">
        <v>0.19</v>
      </c>
      <c r="P5" s="110">
        <v>9</v>
      </c>
      <c r="Q5" s="100">
        <f>SUM(Tabla1[[#This Row],[A RESCATAR]:[Paradero desconocido]])</f>
        <v>137.19</v>
      </c>
      <c r="R5" s="111">
        <v>96</v>
      </c>
      <c r="S5" s="111">
        <v>152</v>
      </c>
      <c r="T5" s="112">
        <v>1</v>
      </c>
      <c r="U5" s="112">
        <v>6</v>
      </c>
    </row>
    <row r="6" spans="1:21" ht="29.1" customHeight="1">
      <c r="A6">
        <v>2</v>
      </c>
      <c r="B6" s="86">
        <v>5</v>
      </c>
      <c r="C6" s="90" t="s">
        <v>73</v>
      </c>
      <c r="D6" s="120" t="s">
        <v>74</v>
      </c>
      <c r="E6" s="30">
        <v>1061</v>
      </c>
      <c r="F6" s="53">
        <v>0</v>
      </c>
      <c r="G6" s="53">
        <v>0</v>
      </c>
      <c r="H6" s="53">
        <v>1</v>
      </c>
      <c r="I6" s="54">
        <v>0</v>
      </c>
      <c r="J6" s="53">
        <v>1</v>
      </c>
      <c r="K6" s="53">
        <v>1</v>
      </c>
      <c r="L6" s="56">
        <v>0</v>
      </c>
      <c r="M6" s="55">
        <f>SUM(Tabla1[[#This Row],[Estado Civil]:[¿Cuál fue el factor decisivo para que sea bautizado?]])</f>
        <v>3</v>
      </c>
      <c r="N6" s="91">
        <v>202</v>
      </c>
      <c r="O6" s="92">
        <v>0.14000000000000001</v>
      </c>
      <c r="P6" s="93">
        <v>14</v>
      </c>
      <c r="Q6" s="100">
        <f>SUM(Tabla1[[#This Row],[A RESCATAR]:[Paradero desconocido]])</f>
        <v>216.14</v>
      </c>
      <c r="R6" s="105">
        <v>83</v>
      </c>
      <c r="S6" s="105"/>
      <c r="T6" s="22">
        <v>0</v>
      </c>
      <c r="U6" s="22"/>
    </row>
    <row r="7" spans="1:21" ht="24.95" customHeight="1">
      <c r="A7">
        <v>3</v>
      </c>
      <c r="B7" s="87">
        <v>5</v>
      </c>
      <c r="C7" s="90" t="s">
        <v>77</v>
      </c>
      <c r="D7" s="120" t="s">
        <v>78</v>
      </c>
      <c r="E7" s="30">
        <v>705</v>
      </c>
      <c r="F7" s="53">
        <v>82</v>
      </c>
      <c r="G7" s="53">
        <v>218</v>
      </c>
      <c r="H7" s="53">
        <v>225</v>
      </c>
      <c r="I7" s="54">
        <v>337</v>
      </c>
      <c r="J7" s="53">
        <v>210</v>
      </c>
      <c r="K7" s="53">
        <v>305</v>
      </c>
      <c r="L7" s="56">
        <v>224</v>
      </c>
      <c r="M7" s="55">
        <f>SUM(Tabla1[[#This Row],[Estado Civil]:[¿Cuál fue el factor decisivo para que sea bautizado?]])</f>
        <v>1601</v>
      </c>
      <c r="N7" s="91">
        <v>166</v>
      </c>
      <c r="O7" s="92">
        <v>0.21</v>
      </c>
      <c r="P7" s="93">
        <v>9</v>
      </c>
      <c r="Q7" s="100">
        <f>SUM(Tabla1[[#This Row],[A RESCATAR]:[Paradero desconocido]])</f>
        <v>175.21</v>
      </c>
      <c r="R7" s="105">
        <v>39</v>
      </c>
      <c r="S7" s="105">
        <v>137</v>
      </c>
      <c r="T7" s="22">
        <v>6</v>
      </c>
      <c r="U7" s="22">
        <v>6</v>
      </c>
    </row>
    <row r="8" spans="1:21" ht="15.95" customHeight="1">
      <c r="B8" s="97">
        <v>5</v>
      </c>
      <c r="C8" s="90" t="s">
        <v>112</v>
      </c>
      <c r="D8" s="120" t="s">
        <v>113</v>
      </c>
      <c r="E8" s="30">
        <v>448</v>
      </c>
      <c r="F8" s="53">
        <v>0</v>
      </c>
      <c r="G8" s="53">
        <v>0</v>
      </c>
      <c r="H8" s="53">
        <v>0</v>
      </c>
      <c r="I8" s="54">
        <v>0</v>
      </c>
      <c r="J8" s="53">
        <v>0</v>
      </c>
      <c r="K8" s="53">
        <v>0</v>
      </c>
      <c r="L8" s="53">
        <v>0</v>
      </c>
      <c r="M8" s="54">
        <f>SUM(Tabla1[[#This Row],[Estado Civil]:[¿Cuál fue el factor decisivo para que sea bautizado?]])</f>
        <v>0</v>
      </c>
      <c r="N8" s="98">
        <v>3</v>
      </c>
      <c r="O8" s="99"/>
      <c r="P8" s="93"/>
      <c r="Q8" s="100">
        <f>SUM(Tabla1[[#This Row],[A RESCATAR]:[Paradero desconocido]])</f>
        <v>3</v>
      </c>
      <c r="R8" s="105">
        <v>7</v>
      </c>
      <c r="S8" s="105"/>
      <c r="T8" s="22">
        <v>0</v>
      </c>
      <c r="U8" s="22"/>
    </row>
    <row r="9" spans="1:21" s="76" customFormat="1" ht="15.95" customHeight="1">
      <c r="A9" s="76">
        <v>4</v>
      </c>
      <c r="B9" s="68">
        <v>1</v>
      </c>
      <c r="C9" s="49" t="s">
        <v>19</v>
      </c>
      <c r="D9" s="120" t="s">
        <v>20</v>
      </c>
      <c r="E9" s="30">
        <v>808</v>
      </c>
      <c r="F9" s="108">
        <v>0</v>
      </c>
      <c r="G9" s="108">
        <v>0</v>
      </c>
      <c r="H9" s="108">
        <v>0</v>
      </c>
      <c r="I9" s="108">
        <v>1</v>
      </c>
      <c r="J9" s="108">
        <v>1</v>
      </c>
      <c r="K9" s="108">
        <v>5</v>
      </c>
      <c r="L9" s="109">
        <v>1</v>
      </c>
      <c r="M9" s="55">
        <f>SUM(Tabla1[[#This Row],[Estado Civil]:[¿Cuál fue el factor decisivo para que sea bautizado?]])</f>
        <v>8</v>
      </c>
      <c r="N9" s="98">
        <v>209</v>
      </c>
      <c r="O9" s="92">
        <v>0.31</v>
      </c>
      <c r="P9" s="110">
        <v>0</v>
      </c>
      <c r="Q9" s="100">
        <f>SUM(Tabla1[[#This Row],[A RESCATAR]:[Paradero desconocido]])</f>
        <v>209.31</v>
      </c>
      <c r="R9" s="111">
        <v>105</v>
      </c>
      <c r="S9" s="111">
        <v>160</v>
      </c>
      <c r="T9" s="112">
        <v>4</v>
      </c>
      <c r="U9" s="112">
        <v>5</v>
      </c>
    </row>
    <row r="10" spans="1:21" s="76" customFormat="1" ht="15.95" customHeight="1">
      <c r="A10" s="76">
        <v>5</v>
      </c>
      <c r="B10" s="68">
        <v>1</v>
      </c>
      <c r="C10" s="49" t="s">
        <v>12</v>
      </c>
      <c r="D10" s="121" t="s">
        <v>114</v>
      </c>
      <c r="E10" s="30">
        <v>562</v>
      </c>
      <c r="F10" s="108">
        <v>0</v>
      </c>
      <c r="G10" s="108"/>
      <c r="H10" s="108">
        <v>1</v>
      </c>
      <c r="I10" s="108">
        <v>0</v>
      </c>
      <c r="J10" s="108">
        <v>0</v>
      </c>
      <c r="K10" s="108">
        <v>0</v>
      </c>
      <c r="L10" s="109">
        <v>0</v>
      </c>
      <c r="M10" s="55">
        <f>SUM(Tabla1[[#This Row],[Estado Civil]:[¿Cuál fue el factor decisivo para que sea bautizado?]])</f>
        <v>1</v>
      </c>
      <c r="N10" s="98">
        <v>61</v>
      </c>
      <c r="O10" s="92">
        <v>0.1</v>
      </c>
      <c r="P10" s="110">
        <v>0</v>
      </c>
      <c r="Q10" s="100">
        <f>SUM(Tabla1[[#This Row],[A RESCATAR]:[Paradero desconocido]])</f>
        <v>61.1</v>
      </c>
      <c r="R10" s="111">
        <v>92</v>
      </c>
      <c r="S10" s="111">
        <v>119</v>
      </c>
      <c r="T10" s="112">
        <v>2</v>
      </c>
      <c r="U10" s="112">
        <v>4</v>
      </c>
    </row>
    <row r="11" spans="1:21" ht="15.95" customHeight="1">
      <c r="A11">
        <v>6</v>
      </c>
      <c r="B11" s="88">
        <v>3</v>
      </c>
      <c r="C11" s="90" t="s">
        <v>51</v>
      </c>
      <c r="D11" s="120" t="s">
        <v>52</v>
      </c>
      <c r="E11" s="57">
        <v>937</v>
      </c>
      <c r="F11" s="53">
        <v>4</v>
      </c>
      <c r="G11" s="53">
        <v>5</v>
      </c>
      <c r="H11" s="53">
        <v>17</v>
      </c>
      <c r="I11" s="54">
        <v>6</v>
      </c>
      <c r="J11" s="53">
        <v>2</v>
      </c>
      <c r="K11" s="53">
        <v>4</v>
      </c>
      <c r="L11" s="56">
        <v>0</v>
      </c>
      <c r="M11" s="55">
        <f>SUM(Tabla1[[#This Row],[Estado Civil]:[¿Cuál fue el factor decisivo para que sea bautizado?]])</f>
        <v>38</v>
      </c>
      <c r="N11" s="91">
        <v>12</v>
      </c>
      <c r="O11" s="92">
        <v>0.02</v>
      </c>
      <c r="P11" s="93">
        <v>35</v>
      </c>
      <c r="Q11" s="100">
        <f>SUM(Tabla1[[#This Row],[A RESCATAR]:[Paradero desconocido]])</f>
        <v>47.019999999999996</v>
      </c>
      <c r="R11" s="105">
        <v>195</v>
      </c>
      <c r="S11" s="105">
        <v>187</v>
      </c>
      <c r="T11" s="22">
        <v>1</v>
      </c>
      <c r="U11" s="22">
        <v>4</v>
      </c>
    </row>
    <row r="12" spans="1:21" ht="15.95" customHeight="1">
      <c r="A12">
        <v>7</v>
      </c>
      <c r="B12" s="87">
        <v>3</v>
      </c>
      <c r="C12" s="90" t="s">
        <v>41</v>
      </c>
      <c r="D12" s="121" t="s">
        <v>70</v>
      </c>
      <c r="E12" s="30">
        <v>752</v>
      </c>
      <c r="F12" s="53">
        <v>21</v>
      </c>
      <c r="G12" s="53">
        <v>135</v>
      </c>
      <c r="H12" s="53">
        <v>232</v>
      </c>
      <c r="I12" s="54">
        <v>328</v>
      </c>
      <c r="J12" s="53">
        <v>228</v>
      </c>
      <c r="K12" s="53">
        <v>341</v>
      </c>
      <c r="L12" s="56">
        <v>191</v>
      </c>
      <c r="M12" s="55">
        <f>SUM(Tabla1[[#This Row],[Estado Civil]:[¿Cuál fue el factor decisivo para que sea bautizado?]])</f>
        <v>1476</v>
      </c>
      <c r="N12" s="91">
        <v>102</v>
      </c>
      <c r="O12" s="92">
        <v>0.17</v>
      </c>
      <c r="P12" s="93">
        <v>1</v>
      </c>
      <c r="Q12" s="100">
        <f>SUM(Tabla1[[#This Row],[A RESCATAR]:[Paradero desconocido]])</f>
        <v>103.17</v>
      </c>
      <c r="R12" s="105">
        <v>62</v>
      </c>
      <c r="S12" s="105">
        <v>147</v>
      </c>
      <c r="T12" s="22">
        <v>6</v>
      </c>
      <c r="U12" s="22">
        <v>6</v>
      </c>
    </row>
    <row r="13" spans="1:21" ht="15.95" customHeight="1">
      <c r="A13">
        <v>8</v>
      </c>
      <c r="B13" s="86">
        <v>7</v>
      </c>
      <c r="C13" s="90" t="s">
        <v>93</v>
      </c>
      <c r="D13" s="120" t="s">
        <v>94</v>
      </c>
      <c r="E13" s="30">
        <v>456</v>
      </c>
      <c r="F13" s="53">
        <v>0</v>
      </c>
      <c r="G13" s="53">
        <v>1</v>
      </c>
      <c r="H13" s="53">
        <v>2</v>
      </c>
      <c r="I13" s="54">
        <v>0</v>
      </c>
      <c r="J13" s="53">
        <v>2</v>
      </c>
      <c r="K13" s="53">
        <v>3</v>
      </c>
      <c r="L13" s="56">
        <v>0</v>
      </c>
      <c r="M13" s="55">
        <f>SUM(Tabla1[[#This Row],[Estado Civil]:[¿Cuál fue el factor decisivo para que sea bautizado?]])</f>
        <v>8</v>
      </c>
      <c r="N13" s="91">
        <v>37</v>
      </c>
      <c r="O13" s="92"/>
      <c r="P13" s="93">
        <v>3</v>
      </c>
      <c r="Q13" s="100">
        <f>SUM(Tabla1[[#This Row],[A RESCATAR]:[Paradero desconocido]])</f>
        <v>40</v>
      </c>
      <c r="R13" s="105">
        <v>27</v>
      </c>
      <c r="S13" s="105"/>
      <c r="T13" s="22">
        <v>5</v>
      </c>
      <c r="U13" s="22"/>
    </row>
    <row r="14" spans="1:21" ht="15.95" customHeight="1">
      <c r="A14">
        <v>9</v>
      </c>
      <c r="B14" s="87">
        <v>6</v>
      </c>
      <c r="C14" s="90" t="s">
        <v>85</v>
      </c>
      <c r="D14" s="121" t="s">
        <v>115</v>
      </c>
      <c r="E14" s="30">
        <v>795</v>
      </c>
      <c r="F14" s="53">
        <v>9</v>
      </c>
      <c r="G14" s="53">
        <v>13</v>
      </c>
      <c r="H14" s="53">
        <v>17</v>
      </c>
      <c r="I14" s="54">
        <v>20</v>
      </c>
      <c r="J14" s="53">
        <v>4</v>
      </c>
      <c r="K14" s="53">
        <v>8</v>
      </c>
      <c r="L14" s="56">
        <v>2</v>
      </c>
      <c r="M14" s="55">
        <f>SUM(Tabla1[[#This Row],[Estado Civil]:[¿Cuál fue el factor decisivo para que sea bautizado?]])</f>
        <v>73</v>
      </c>
      <c r="N14" s="91">
        <v>190</v>
      </c>
      <c r="O14" s="92">
        <v>0.25</v>
      </c>
      <c r="P14" s="93">
        <v>27</v>
      </c>
      <c r="Q14" s="100">
        <f>SUM(Tabla1[[#This Row],[A RESCATAR]:[Paradero desconocido]])</f>
        <v>217.25</v>
      </c>
      <c r="R14" s="105">
        <v>119</v>
      </c>
      <c r="S14" s="105">
        <v>157</v>
      </c>
      <c r="T14" s="22">
        <v>0</v>
      </c>
      <c r="U14" s="22">
        <v>1</v>
      </c>
    </row>
    <row r="15" spans="1:21" ht="15.95" customHeight="1">
      <c r="A15">
        <v>10</v>
      </c>
      <c r="B15" s="86">
        <v>6</v>
      </c>
      <c r="C15" s="90" t="s">
        <v>79</v>
      </c>
      <c r="D15" s="121" t="s">
        <v>116</v>
      </c>
      <c r="E15" s="30">
        <v>557</v>
      </c>
      <c r="F15" s="53">
        <v>0</v>
      </c>
      <c r="G15" s="53">
        <v>0</v>
      </c>
      <c r="H15" s="53">
        <v>0</v>
      </c>
      <c r="I15" s="54">
        <v>0</v>
      </c>
      <c r="J15" s="53">
        <v>0</v>
      </c>
      <c r="K15" s="53">
        <v>0</v>
      </c>
      <c r="L15" s="56">
        <v>0</v>
      </c>
      <c r="M15" s="55">
        <f>SUM(Tabla1[[#This Row],[Estado Civil]:[¿Cuál fue el factor decisivo para que sea bautizado?]])</f>
        <v>0</v>
      </c>
      <c r="N15" s="91">
        <v>77</v>
      </c>
      <c r="O15" s="92">
        <v>0.14000000000000001</v>
      </c>
      <c r="P15" s="93"/>
      <c r="Q15" s="100">
        <f>SUM(Tabla1[[#This Row],[A RESCATAR]:[Paradero desconocido]])</f>
        <v>77.14</v>
      </c>
      <c r="R15" s="105">
        <v>83</v>
      </c>
      <c r="S15" s="105">
        <v>111</v>
      </c>
      <c r="T15" s="22">
        <v>5</v>
      </c>
      <c r="U15" s="22">
        <v>4</v>
      </c>
    </row>
    <row r="16" spans="1:21" ht="15.95" customHeight="1">
      <c r="A16">
        <v>11</v>
      </c>
      <c r="B16" s="86">
        <v>6</v>
      </c>
      <c r="C16" s="90" t="s">
        <v>81</v>
      </c>
      <c r="D16" s="121" t="s">
        <v>80</v>
      </c>
      <c r="E16" s="30">
        <v>863</v>
      </c>
      <c r="F16" s="53">
        <v>1</v>
      </c>
      <c r="G16" s="53">
        <v>0</v>
      </c>
      <c r="H16" s="53">
        <v>0</v>
      </c>
      <c r="I16" s="54">
        <v>0</v>
      </c>
      <c r="J16" s="53">
        <v>1</v>
      </c>
      <c r="K16" s="53">
        <v>2</v>
      </c>
      <c r="L16" s="56">
        <v>1</v>
      </c>
      <c r="M16" s="55">
        <f>SUM(Tabla1[[#This Row],[Estado Civil]:[¿Cuál fue el factor decisivo para que sea bautizado?]])</f>
        <v>5</v>
      </c>
      <c r="N16" s="91">
        <v>95</v>
      </c>
      <c r="O16" s="92">
        <v>0.12</v>
      </c>
      <c r="P16" s="93">
        <v>10</v>
      </c>
      <c r="Q16" s="101">
        <f>SUM(Tabla1[[#This Row],[A RESCATAR]:[Paradero desconocido]])</f>
        <v>105.12</v>
      </c>
      <c r="R16" s="105">
        <v>74</v>
      </c>
      <c r="S16" s="105">
        <v>176</v>
      </c>
      <c r="T16" s="22">
        <v>5</v>
      </c>
      <c r="U16" s="22">
        <v>6</v>
      </c>
    </row>
    <row r="17" spans="1:21" ht="15.95" customHeight="1">
      <c r="A17">
        <v>12</v>
      </c>
      <c r="B17" s="86">
        <v>6</v>
      </c>
      <c r="C17" s="90" t="s">
        <v>83</v>
      </c>
      <c r="D17" s="120" t="s">
        <v>84</v>
      </c>
      <c r="E17" s="30">
        <v>593</v>
      </c>
      <c r="F17" s="53">
        <v>0</v>
      </c>
      <c r="G17" s="53">
        <v>0</v>
      </c>
      <c r="H17" s="53">
        <v>0</v>
      </c>
      <c r="I17" s="54">
        <v>1</v>
      </c>
      <c r="J17" s="53">
        <v>1</v>
      </c>
      <c r="K17" s="53">
        <v>1</v>
      </c>
      <c r="L17" s="56">
        <v>0</v>
      </c>
      <c r="M17" s="55">
        <f>SUM(Tabla1[[#This Row],[Estado Civil]:[¿Cuál fue el factor decisivo para que sea bautizado?]])</f>
        <v>3</v>
      </c>
      <c r="N17" s="91">
        <v>38</v>
      </c>
      <c r="O17" s="92">
        <v>7.0000000000000007E-2</v>
      </c>
      <c r="P17" s="93">
        <v>2</v>
      </c>
      <c r="Q17" s="101">
        <f>SUM(Tabla1[[#This Row],[A RESCATAR]:[Paradero desconocido]])</f>
        <v>40.07</v>
      </c>
      <c r="R17" s="105">
        <v>101</v>
      </c>
      <c r="S17" s="105">
        <v>117</v>
      </c>
      <c r="T17" s="22">
        <v>4</v>
      </c>
      <c r="U17" s="22">
        <v>2</v>
      </c>
    </row>
    <row r="18" spans="1:21" ht="15.95" customHeight="1">
      <c r="A18">
        <v>13</v>
      </c>
      <c r="B18" s="87">
        <v>6</v>
      </c>
      <c r="C18" s="90" t="s">
        <v>89</v>
      </c>
      <c r="D18" s="120" t="s">
        <v>90</v>
      </c>
      <c r="E18" s="30">
        <v>542</v>
      </c>
      <c r="F18" s="53">
        <v>1</v>
      </c>
      <c r="G18" s="53">
        <v>0</v>
      </c>
      <c r="H18" s="53">
        <v>0</v>
      </c>
      <c r="I18" s="54">
        <v>0</v>
      </c>
      <c r="J18" s="53">
        <v>1</v>
      </c>
      <c r="K18" s="53">
        <v>2</v>
      </c>
      <c r="L18" s="56">
        <v>2</v>
      </c>
      <c r="M18" s="55">
        <f>SUM(Tabla1[[#This Row],[Estado Civil]:[¿Cuál fue el factor decisivo para que sea bautizado?]])</f>
        <v>6</v>
      </c>
      <c r="N18" s="91">
        <v>105</v>
      </c>
      <c r="O18" s="92">
        <v>0.18</v>
      </c>
      <c r="P18" s="93">
        <v>6</v>
      </c>
      <c r="Q18" s="100">
        <f>SUM(Tabla1[[#This Row],[A RESCATAR]:[Paradero desconocido]])</f>
        <v>111.18</v>
      </c>
      <c r="R18" s="105">
        <v>49</v>
      </c>
      <c r="S18" s="105">
        <v>132</v>
      </c>
      <c r="T18" s="22">
        <v>0</v>
      </c>
      <c r="U18" s="22">
        <v>2</v>
      </c>
    </row>
    <row r="19" spans="1:21" ht="15.95" customHeight="1">
      <c r="A19">
        <v>14</v>
      </c>
      <c r="B19" s="87">
        <v>6</v>
      </c>
      <c r="C19" s="90" t="s">
        <v>87</v>
      </c>
      <c r="D19" s="120" t="s">
        <v>88</v>
      </c>
      <c r="E19" s="30">
        <v>542</v>
      </c>
      <c r="F19" s="53">
        <v>5</v>
      </c>
      <c r="G19" s="53">
        <v>6</v>
      </c>
      <c r="H19" s="53">
        <v>28</v>
      </c>
      <c r="I19" s="54">
        <v>11</v>
      </c>
      <c r="J19" s="53">
        <v>7</v>
      </c>
      <c r="K19" s="53">
        <v>9</v>
      </c>
      <c r="L19" s="56">
        <v>6</v>
      </c>
      <c r="M19" s="55">
        <f>SUM(Tabla1[[#This Row],[Estado Civil]:[¿Cuál fue el factor decisivo para que sea bautizado?]])</f>
        <v>72</v>
      </c>
      <c r="N19" s="91">
        <v>58</v>
      </c>
      <c r="O19" s="92">
        <v>0.12</v>
      </c>
      <c r="P19" s="93">
        <v>1</v>
      </c>
      <c r="Q19" s="100">
        <f>SUM(Tabla1[[#This Row],[A RESCATAR]:[Paradero desconocido]])</f>
        <v>59.12</v>
      </c>
      <c r="R19" s="105">
        <v>42</v>
      </c>
      <c r="S19" s="105">
        <v>107</v>
      </c>
      <c r="T19" s="22">
        <v>3</v>
      </c>
      <c r="U19" s="22">
        <v>9</v>
      </c>
    </row>
    <row r="20" spans="1:21" ht="15.95" customHeight="1">
      <c r="A20">
        <v>15</v>
      </c>
      <c r="B20" s="87">
        <v>3</v>
      </c>
      <c r="C20" s="90" t="s">
        <v>43</v>
      </c>
      <c r="D20" s="120" t="s">
        <v>44</v>
      </c>
      <c r="E20" s="30">
        <v>911</v>
      </c>
      <c r="F20" s="53">
        <v>18</v>
      </c>
      <c r="G20" s="53">
        <v>69</v>
      </c>
      <c r="H20" s="53">
        <v>82</v>
      </c>
      <c r="I20" s="54">
        <v>299</v>
      </c>
      <c r="J20" s="53">
        <v>227</v>
      </c>
      <c r="K20" s="53">
        <v>305</v>
      </c>
      <c r="L20" s="56">
        <v>184</v>
      </c>
      <c r="M20" s="55">
        <f>SUM(Tabla1[[#This Row],[Estado Civil]:[¿Cuál fue el factor decisivo para que sea bautizado?]])</f>
        <v>1184</v>
      </c>
      <c r="N20" s="91">
        <v>69</v>
      </c>
      <c r="O20" s="92">
        <v>0.09</v>
      </c>
      <c r="P20" s="93">
        <v>2</v>
      </c>
      <c r="Q20" s="100">
        <f>SUM(Tabla1[[#This Row],[A RESCATAR]:[Paradero desconocido]])</f>
        <v>71.09</v>
      </c>
      <c r="R20" s="105">
        <v>108</v>
      </c>
      <c r="S20" s="105">
        <v>185</v>
      </c>
      <c r="T20" s="22">
        <v>3</v>
      </c>
      <c r="U20" s="22">
        <v>4</v>
      </c>
    </row>
    <row r="21" spans="1:21" ht="15.95" customHeight="1">
      <c r="A21">
        <v>16</v>
      </c>
      <c r="B21" s="87">
        <v>3</v>
      </c>
      <c r="C21" s="90" t="s">
        <v>49</v>
      </c>
      <c r="D21" s="120" t="s">
        <v>50</v>
      </c>
      <c r="E21" s="57">
        <v>847</v>
      </c>
      <c r="F21" s="53">
        <v>34</v>
      </c>
      <c r="G21" s="53">
        <v>69</v>
      </c>
      <c r="H21" s="53">
        <v>106</v>
      </c>
      <c r="I21" s="54">
        <v>79</v>
      </c>
      <c r="J21" s="53">
        <v>52</v>
      </c>
      <c r="K21" s="53">
        <v>59</v>
      </c>
      <c r="L21" s="56">
        <v>57</v>
      </c>
      <c r="M21" s="55">
        <f>SUM(Tabla1[[#This Row],[Estado Civil]:[¿Cuál fue el factor decisivo para que sea bautizado?]])</f>
        <v>456</v>
      </c>
      <c r="N21" s="91">
        <v>91</v>
      </c>
      <c r="O21" s="92">
        <v>0.12</v>
      </c>
      <c r="P21" s="93">
        <v>1</v>
      </c>
      <c r="Q21" s="100">
        <f>SUM(Tabla1[[#This Row],[A RESCATAR]:[Paradero desconocido]])</f>
        <v>92.12</v>
      </c>
      <c r="R21" s="105">
        <v>86</v>
      </c>
      <c r="S21" s="105">
        <v>170</v>
      </c>
      <c r="T21" s="22">
        <v>2</v>
      </c>
      <c r="U21" s="22">
        <v>6</v>
      </c>
    </row>
    <row r="22" spans="1:21" ht="15.95" customHeight="1">
      <c r="A22">
        <v>17</v>
      </c>
      <c r="B22" s="87">
        <v>3</v>
      </c>
      <c r="C22" s="90" t="s">
        <v>47</v>
      </c>
      <c r="D22" s="120" t="s">
        <v>48</v>
      </c>
      <c r="E22" s="30">
        <v>746</v>
      </c>
      <c r="F22" s="53">
        <v>5</v>
      </c>
      <c r="G22" s="53">
        <v>0</v>
      </c>
      <c r="H22" s="53">
        <v>2</v>
      </c>
      <c r="I22" s="54">
        <v>8</v>
      </c>
      <c r="J22" s="53">
        <v>7</v>
      </c>
      <c r="K22" s="53">
        <v>10</v>
      </c>
      <c r="L22" s="56">
        <v>9</v>
      </c>
      <c r="M22" s="55">
        <f>SUM(Tabla1[[#This Row],[Estado Civil]:[¿Cuál fue el factor decisivo para que sea bautizado?]])</f>
        <v>41</v>
      </c>
      <c r="N22" s="91">
        <v>93</v>
      </c>
      <c r="O22" s="92">
        <v>0.13</v>
      </c>
      <c r="P22" s="93">
        <v>0</v>
      </c>
      <c r="Q22" s="100">
        <f>SUM(Tabla1[[#This Row],[A RESCATAR]:[Paradero desconocido]])</f>
        <v>93.13</v>
      </c>
      <c r="R22" s="105">
        <v>112</v>
      </c>
      <c r="S22" s="105">
        <v>147</v>
      </c>
      <c r="T22" s="22">
        <v>5</v>
      </c>
      <c r="U22" s="22">
        <v>6</v>
      </c>
    </row>
    <row r="23" spans="1:21" ht="15.95" customHeight="1">
      <c r="A23">
        <v>18</v>
      </c>
      <c r="B23" s="87">
        <v>3</v>
      </c>
      <c r="C23" s="90" t="s">
        <v>45</v>
      </c>
      <c r="D23" s="120" t="s">
        <v>46</v>
      </c>
      <c r="E23" s="57">
        <v>772</v>
      </c>
      <c r="F23" s="53">
        <v>64</v>
      </c>
      <c r="G23" s="53">
        <v>213</v>
      </c>
      <c r="H23" s="53">
        <v>227</v>
      </c>
      <c r="I23" s="54">
        <v>377</v>
      </c>
      <c r="J23" s="53">
        <v>257</v>
      </c>
      <c r="K23" s="53">
        <v>393</v>
      </c>
      <c r="L23" s="56">
        <v>217</v>
      </c>
      <c r="M23" s="55">
        <f>SUM(Tabla1[[#This Row],[Estado Civil]:[¿Cuál fue el factor decisivo para que sea bautizado?]])</f>
        <v>1748</v>
      </c>
      <c r="N23" s="91">
        <v>116</v>
      </c>
      <c r="O23" s="92">
        <v>0.16</v>
      </c>
      <c r="P23" s="93">
        <v>9</v>
      </c>
      <c r="Q23" s="100">
        <f>SUM(Tabla1[[#This Row],[A RESCATAR]:[Paradero desconocido]])</f>
        <v>125.16</v>
      </c>
      <c r="R23" s="105">
        <v>148</v>
      </c>
      <c r="S23" s="105">
        <v>154</v>
      </c>
      <c r="T23" s="22">
        <v>2</v>
      </c>
      <c r="U23" s="22">
        <v>4</v>
      </c>
    </row>
    <row r="24" spans="1:21" ht="15.95" customHeight="1">
      <c r="A24">
        <v>19</v>
      </c>
      <c r="B24" s="86">
        <v>5</v>
      </c>
      <c r="C24" s="90" t="s">
        <v>71</v>
      </c>
      <c r="D24" s="120" t="s">
        <v>72</v>
      </c>
      <c r="E24" s="30">
        <v>1262</v>
      </c>
      <c r="F24" s="53">
        <v>0</v>
      </c>
      <c r="G24" s="53">
        <v>0</v>
      </c>
      <c r="H24" s="53">
        <v>0</v>
      </c>
      <c r="I24" s="54">
        <v>0</v>
      </c>
      <c r="J24" s="53">
        <v>0</v>
      </c>
      <c r="K24" s="53">
        <v>1</v>
      </c>
      <c r="L24" s="56">
        <v>1</v>
      </c>
      <c r="M24" s="55">
        <f>SUM(Tabla1[[#This Row],[Estado Civil]:[¿Cuál fue el factor decisivo para que sea bautizado?]])</f>
        <v>2</v>
      </c>
      <c r="N24" s="91">
        <v>161</v>
      </c>
      <c r="O24" s="92">
        <v>0.13</v>
      </c>
      <c r="P24" s="93">
        <v>6</v>
      </c>
      <c r="Q24" s="100">
        <f>SUM(Tabla1[[#This Row],[A RESCATAR]:[Paradero desconocido]])</f>
        <v>167.13</v>
      </c>
      <c r="R24" s="105">
        <v>87</v>
      </c>
      <c r="S24" s="105">
        <v>248</v>
      </c>
      <c r="T24" s="22">
        <v>5</v>
      </c>
      <c r="U24" s="22">
        <v>7</v>
      </c>
    </row>
    <row r="25" spans="1:21" ht="15.95" customHeight="1">
      <c r="A25">
        <v>20</v>
      </c>
      <c r="B25" s="115">
        <v>5</v>
      </c>
      <c r="C25" s="90" t="s">
        <v>69</v>
      </c>
      <c r="D25" s="122" t="s">
        <v>82</v>
      </c>
      <c r="E25" s="30">
        <v>908</v>
      </c>
      <c r="F25" s="53">
        <v>0</v>
      </c>
      <c r="G25" s="53">
        <v>0</v>
      </c>
      <c r="H25" s="53">
        <v>1</v>
      </c>
      <c r="I25" s="54">
        <v>0</v>
      </c>
      <c r="J25" s="53">
        <v>0</v>
      </c>
      <c r="K25" s="53">
        <v>0</v>
      </c>
      <c r="L25" s="53">
        <v>0</v>
      </c>
      <c r="M25" s="54">
        <f>SUM(Tabla1[[#This Row],[Estado Civil]:[¿Cuál fue el factor decisivo para que sea bautizado?]])</f>
        <v>1</v>
      </c>
      <c r="N25" s="91">
        <v>206</v>
      </c>
      <c r="O25" s="92">
        <v>0.22</v>
      </c>
      <c r="P25" s="93">
        <v>4</v>
      </c>
      <c r="Q25" s="100">
        <f>SUM(Tabla1[[#This Row],[A RESCATAR]:[Paradero desconocido]])</f>
        <v>210.22</v>
      </c>
      <c r="R25" s="105">
        <v>57</v>
      </c>
      <c r="S25" s="105">
        <v>179</v>
      </c>
      <c r="T25" s="22">
        <v>3</v>
      </c>
      <c r="U25" s="22">
        <v>5</v>
      </c>
    </row>
    <row r="26" spans="1:21" ht="47.25" customHeight="1">
      <c r="A26">
        <v>21</v>
      </c>
      <c r="B26" s="86">
        <v>7</v>
      </c>
      <c r="C26" s="90" t="s">
        <v>117</v>
      </c>
      <c r="D26" s="123" t="s">
        <v>118</v>
      </c>
      <c r="E26" s="30">
        <v>289</v>
      </c>
      <c r="F26" s="53">
        <v>0</v>
      </c>
      <c r="G26" s="53">
        <v>0</v>
      </c>
      <c r="H26" s="53">
        <v>0</v>
      </c>
      <c r="I26" s="54">
        <v>0</v>
      </c>
      <c r="J26" s="53">
        <v>0</v>
      </c>
      <c r="K26" s="53">
        <v>0</v>
      </c>
      <c r="L26" s="56">
        <v>0</v>
      </c>
      <c r="M26" s="55">
        <f>SUM(Tabla1[[#This Row],[Estado Civil]:[¿Cuál fue el factor decisivo para que sea bautizado?]])</f>
        <v>0</v>
      </c>
      <c r="N26" s="91">
        <v>29</v>
      </c>
      <c r="O26" s="92">
        <v>7.0000000000000007E-2</v>
      </c>
      <c r="P26" s="93">
        <v>0</v>
      </c>
      <c r="Q26" s="100">
        <f>SUM(Tabla1[[#This Row],[A RESCATAR]:[Paradero desconocido]])</f>
        <v>29.07</v>
      </c>
      <c r="R26" s="105">
        <v>30</v>
      </c>
      <c r="S26" s="105"/>
      <c r="T26" s="22">
        <v>0</v>
      </c>
      <c r="U26" s="22">
        <v>0</v>
      </c>
    </row>
    <row r="27" spans="1:21" ht="15.95" customHeight="1">
      <c r="A27">
        <v>22</v>
      </c>
      <c r="B27" s="87">
        <v>5</v>
      </c>
      <c r="C27" s="90" t="s">
        <v>75</v>
      </c>
      <c r="D27" s="120" t="s">
        <v>76</v>
      </c>
      <c r="E27" s="30">
        <v>940</v>
      </c>
      <c r="F27" s="53">
        <v>50</v>
      </c>
      <c r="G27" s="53">
        <v>266</v>
      </c>
      <c r="H27" s="53">
        <v>261</v>
      </c>
      <c r="I27" s="54">
        <v>360</v>
      </c>
      <c r="J27" s="53">
        <v>248</v>
      </c>
      <c r="K27" s="53">
        <v>391</v>
      </c>
      <c r="L27" s="56">
        <v>199</v>
      </c>
      <c r="M27" s="55">
        <f>SUM(Tabla1[[#This Row],[Estado Civil]:[¿Cuál fue el factor decisivo para que sea bautizado?]])</f>
        <v>1775</v>
      </c>
      <c r="N27" s="91">
        <v>197</v>
      </c>
      <c r="O27" s="92">
        <v>0.21</v>
      </c>
      <c r="P27" s="93">
        <v>41</v>
      </c>
      <c r="Q27" s="100">
        <f>SUM(Tabla1[[#This Row],[A RESCATAR]:[Paradero desconocido]])</f>
        <v>238.21</v>
      </c>
      <c r="R27" s="105">
        <v>47</v>
      </c>
      <c r="S27" s="105">
        <v>190</v>
      </c>
      <c r="T27" s="22">
        <v>6</v>
      </c>
      <c r="U27" s="22">
        <v>6</v>
      </c>
    </row>
    <row r="28" spans="1:21" ht="15.95" customHeight="1">
      <c r="A28">
        <v>23</v>
      </c>
      <c r="B28" s="94">
        <v>2</v>
      </c>
      <c r="C28" s="90" t="s">
        <v>27</v>
      </c>
      <c r="D28" s="121" t="s">
        <v>22</v>
      </c>
      <c r="E28" s="30">
        <v>724</v>
      </c>
      <c r="F28" s="53">
        <v>0</v>
      </c>
      <c r="G28" s="53">
        <v>0</v>
      </c>
      <c r="H28" s="53">
        <v>4</v>
      </c>
      <c r="I28" s="54">
        <v>1</v>
      </c>
      <c r="J28" s="53">
        <v>0</v>
      </c>
      <c r="K28" s="53">
        <v>3</v>
      </c>
      <c r="L28" s="56">
        <v>1</v>
      </c>
      <c r="M28" s="55">
        <f>SUM(Tabla1[[#This Row],[Estado Civil]:[¿Cuál fue el factor decisivo para que sea bautizado?]])</f>
        <v>9</v>
      </c>
      <c r="N28" s="91">
        <v>146</v>
      </c>
      <c r="O28" s="92">
        <v>0.21</v>
      </c>
      <c r="P28" s="93">
        <v>15</v>
      </c>
      <c r="Q28" s="100">
        <f>SUM(Tabla1[[#This Row],[A RESCATAR]:[Paradero desconocido]])</f>
        <v>161.21</v>
      </c>
      <c r="R28" s="105">
        <v>111</v>
      </c>
      <c r="S28" s="105">
        <v>143</v>
      </c>
      <c r="T28" s="22">
        <v>0</v>
      </c>
      <c r="U28" s="22">
        <v>4</v>
      </c>
    </row>
    <row r="29" spans="1:21" ht="15.95" customHeight="1">
      <c r="A29">
        <v>24</v>
      </c>
      <c r="B29" s="94">
        <v>2</v>
      </c>
      <c r="C29" s="90" t="s">
        <v>29</v>
      </c>
      <c r="D29" s="120" t="s">
        <v>30</v>
      </c>
      <c r="E29" s="30">
        <v>495</v>
      </c>
      <c r="F29" s="53">
        <v>1</v>
      </c>
      <c r="G29" s="53">
        <v>1</v>
      </c>
      <c r="H29" s="53">
        <v>0</v>
      </c>
      <c r="I29" s="54">
        <v>1</v>
      </c>
      <c r="J29" s="53">
        <v>1</v>
      </c>
      <c r="K29" s="53">
        <v>0</v>
      </c>
      <c r="L29" s="56">
        <v>1</v>
      </c>
      <c r="M29" s="55">
        <f>SUM(Tabla1[[#This Row],[Estado Civil]:[¿Cuál fue el factor decisivo para que sea bautizado?]])</f>
        <v>5</v>
      </c>
      <c r="N29" s="91">
        <v>19</v>
      </c>
      <c r="O29" s="92">
        <v>0.04</v>
      </c>
      <c r="P29" s="93">
        <v>0</v>
      </c>
      <c r="Q29" s="101">
        <f>SUM(Tabla1[[#This Row],[A RESCATAR]:[Paradero desconocido]])</f>
        <v>19.04</v>
      </c>
      <c r="R29" s="105">
        <v>61</v>
      </c>
      <c r="S29" s="105">
        <v>96</v>
      </c>
      <c r="T29" s="22">
        <v>4</v>
      </c>
      <c r="U29" s="22">
        <v>6</v>
      </c>
    </row>
    <row r="30" spans="1:21" ht="15.95" customHeight="1">
      <c r="A30">
        <v>25</v>
      </c>
      <c r="B30" s="87">
        <v>7</v>
      </c>
      <c r="C30" s="90" t="s">
        <v>119</v>
      </c>
      <c r="D30" s="120" t="s">
        <v>98</v>
      </c>
      <c r="E30" s="30">
        <v>758</v>
      </c>
      <c r="F30" s="53">
        <v>61</v>
      </c>
      <c r="G30" s="53">
        <v>181</v>
      </c>
      <c r="H30" s="53">
        <v>178</v>
      </c>
      <c r="I30" s="54">
        <v>264</v>
      </c>
      <c r="J30" s="53">
        <v>202</v>
      </c>
      <c r="K30" s="53">
        <v>269</v>
      </c>
      <c r="L30" s="56">
        <v>188</v>
      </c>
      <c r="M30" s="55">
        <f>SUM(Tabla1[[#This Row],[Estado Civil]:[¿Cuál fue el factor decisivo para que sea bautizado?]])</f>
        <v>1343</v>
      </c>
      <c r="N30" s="91">
        <v>149</v>
      </c>
      <c r="O30" s="92">
        <v>0.22</v>
      </c>
      <c r="P30" s="93">
        <v>7</v>
      </c>
      <c r="Q30" s="100">
        <f>SUM(Tabla1[[#This Row],[A RESCATAR]:[Paradero desconocido]])</f>
        <v>156.22</v>
      </c>
      <c r="R30" s="105">
        <v>78</v>
      </c>
      <c r="S30" s="105">
        <v>155</v>
      </c>
      <c r="T30" s="22">
        <v>4</v>
      </c>
      <c r="U30" s="22">
        <v>5</v>
      </c>
    </row>
    <row r="31" spans="1:21" ht="15.95" customHeight="1">
      <c r="A31">
        <v>26</v>
      </c>
      <c r="B31" s="87">
        <v>7</v>
      </c>
      <c r="C31" s="90" t="s">
        <v>120</v>
      </c>
      <c r="D31" s="120" t="s">
        <v>96</v>
      </c>
      <c r="E31" s="30">
        <v>848</v>
      </c>
      <c r="F31" s="53">
        <v>10</v>
      </c>
      <c r="G31" s="53">
        <v>12</v>
      </c>
      <c r="H31" s="53">
        <v>25</v>
      </c>
      <c r="I31" s="54">
        <v>122</v>
      </c>
      <c r="J31" s="53">
        <v>88</v>
      </c>
      <c r="K31" s="53">
        <v>141</v>
      </c>
      <c r="L31" s="56">
        <v>80</v>
      </c>
      <c r="M31" s="55">
        <f>SUM(Tabla1[[#This Row],[Estado Civil]:[¿Cuál fue el factor decisivo para que sea bautizado?]])</f>
        <v>478</v>
      </c>
      <c r="N31" s="91">
        <v>106</v>
      </c>
      <c r="O31" s="92">
        <v>0.13</v>
      </c>
      <c r="P31" s="93">
        <v>5</v>
      </c>
      <c r="Q31" s="100">
        <f>SUM(Tabla1[[#This Row],[A RESCATAR]:[Paradero desconocido]])</f>
        <v>111.13</v>
      </c>
      <c r="R31" s="105">
        <v>76</v>
      </c>
      <c r="S31" s="105">
        <v>167</v>
      </c>
      <c r="T31" s="22">
        <v>4</v>
      </c>
      <c r="U31" s="22">
        <v>6</v>
      </c>
    </row>
    <row r="32" spans="1:21" ht="15.95" customHeight="1">
      <c r="A32">
        <v>27</v>
      </c>
      <c r="B32" s="86">
        <v>7</v>
      </c>
      <c r="C32" s="90" t="s">
        <v>121</v>
      </c>
      <c r="D32" s="120" t="s">
        <v>92</v>
      </c>
      <c r="E32" s="30">
        <v>542</v>
      </c>
      <c r="F32" s="53">
        <v>0</v>
      </c>
      <c r="G32" s="53">
        <v>0</v>
      </c>
      <c r="H32" s="53">
        <v>0</v>
      </c>
      <c r="I32" s="54">
        <v>0</v>
      </c>
      <c r="J32" s="53">
        <v>0</v>
      </c>
      <c r="K32" s="53">
        <v>0</v>
      </c>
      <c r="L32" s="56">
        <v>0</v>
      </c>
      <c r="M32" s="55">
        <f>SUM(Tabla1[[#This Row],[Estado Civil]:[¿Cuál fue el factor decisivo para que sea bautizado?]])</f>
        <v>0</v>
      </c>
      <c r="N32" s="91">
        <v>115</v>
      </c>
      <c r="O32" s="92">
        <v>0.28000000000000003</v>
      </c>
      <c r="P32" s="93">
        <v>0</v>
      </c>
      <c r="Q32" s="100">
        <f>SUM(Tabla1[[#This Row],[A RESCATAR]:[Paradero desconocido]])</f>
        <v>115.28</v>
      </c>
      <c r="R32" s="105">
        <v>29</v>
      </c>
      <c r="S32" s="105">
        <v>108</v>
      </c>
      <c r="T32" s="22">
        <v>5</v>
      </c>
      <c r="U32" s="22">
        <v>5</v>
      </c>
    </row>
    <row r="33" spans="1:21" ht="15.95" customHeight="1">
      <c r="A33">
        <v>28</v>
      </c>
      <c r="B33" s="94">
        <v>2</v>
      </c>
      <c r="C33" s="90" t="s">
        <v>33</v>
      </c>
      <c r="D33" s="120" t="s">
        <v>34</v>
      </c>
      <c r="E33" s="57">
        <v>707</v>
      </c>
      <c r="F33" s="53">
        <v>35</v>
      </c>
      <c r="G33" s="53">
        <v>114</v>
      </c>
      <c r="H33" s="53">
        <v>144</v>
      </c>
      <c r="I33" s="53">
        <v>258</v>
      </c>
      <c r="J33" s="53">
        <v>180</v>
      </c>
      <c r="K33" s="53">
        <v>308</v>
      </c>
      <c r="L33" s="56">
        <v>191</v>
      </c>
      <c r="M33" s="55">
        <f>SUM(Tabla1[[#This Row],[Estado Civil]:[¿Cuál fue el factor decisivo para que sea bautizado?]])</f>
        <v>1230</v>
      </c>
      <c r="N33" s="91">
        <v>42</v>
      </c>
      <c r="O33" s="92">
        <v>0.06</v>
      </c>
      <c r="P33" s="93">
        <v>3</v>
      </c>
      <c r="Q33" s="100">
        <f>SUM(Tabla1[[#This Row],[A RESCATAR]:[Paradero desconocido]])</f>
        <v>45.06</v>
      </c>
      <c r="R33" s="105">
        <v>150</v>
      </c>
      <c r="S33" s="105">
        <v>136</v>
      </c>
      <c r="T33" s="22">
        <v>2</v>
      </c>
      <c r="U33" s="22">
        <v>2</v>
      </c>
    </row>
    <row r="34" spans="1:21" ht="15.95" customHeight="1">
      <c r="A34">
        <v>29</v>
      </c>
      <c r="B34" s="94">
        <v>2</v>
      </c>
      <c r="C34" s="90" t="s">
        <v>39</v>
      </c>
      <c r="D34" s="121" t="s">
        <v>86</v>
      </c>
      <c r="E34" s="57">
        <v>688</v>
      </c>
      <c r="F34" s="53">
        <v>1</v>
      </c>
      <c r="G34" s="53">
        <v>0</v>
      </c>
      <c r="H34" s="53">
        <v>1</v>
      </c>
      <c r="I34" s="54">
        <v>71</v>
      </c>
      <c r="J34" s="53">
        <v>51</v>
      </c>
      <c r="K34" s="53">
        <v>83</v>
      </c>
      <c r="L34" s="56">
        <v>39</v>
      </c>
      <c r="M34" s="55">
        <f>SUM(Tabla1[[#This Row],[Estado Civil]:[¿Cuál fue el factor decisivo para que sea bautizado?]])</f>
        <v>246</v>
      </c>
      <c r="N34" s="91">
        <v>198</v>
      </c>
      <c r="O34" s="92">
        <v>0.31</v>
      </c>
      <c r="P34" s="93">
        <v>1</v>
      </c>
      <c r="Q34" s="100">
        <f>SUM(Tabla1[[#This Row],[A RESCATAR]:[Paradero desconocido]])</f>
        <v>199.31</v>
      </c>
      <c r="R34" s="105">
        <v>214</v>
      </c>
      <c r="S34" s="105">
        <v>134</v>
      </c>
      <c r="T34" s="22">
        <v>0</v>
      </c>
      <c r="U34" s="22">
        <v>3</v>
      </c>
    </row>
    <row r="35" spans="1:21" ht="15.95" customHeight="1">
      <c r="A35">
        <v>30</v>
      </c>
      <c r="B35" s="94">
        <v>2</v>
      </c>
      <c r="C35" s="90" t="s">
        <v>37</v>
      </c>
      <c r="D35" s="120" t="s">
        <v>38</v>
      </c>
      <c r="E35" s="30">
        <v>941</v>
      </c>
      <c r="F35" s="53">
        <v>11</v>
      </c>
      <c r="G35" s="53">
        <v>139</v>
      </c>
      <c r="H35" s="53">
        <v>182</v>
      </c>
      <c r="I35" s="54">
        <v>233</v>
      </c>
      <c r="J35" s="53">
        <v>196</v>
      </c>
      <c r="K35" s="53">
        <v>293</v>
      </c>
      <c r="L35" s="56">
        <v>154</v>
      </c>
      <c r="M35" s="55">
        <f>SUM(Tabla1[[#This Row],[Estado Civil]:[¿Cuál fue el factor decisivo para que sea bautizado?]])</f>
        <v>1208</v>
      </c>
      <c r="N35" s="91">
        <v>137</v>
      </c>
      <c r="O35" s="92">
        <v>0.1</v>
      </c>
      <c r="P35" s="93">
        <v>62</v>
      </c>
      <c r="Q35" s="100">
        <f>SUM(Tabla1[[#This Row],[A RESCATAR]:[Paradero desconocido]])</f>
        <v>199.1</v>
      </c>
      <c r="R35" s="105">
        <v>162</v>
      </c>
      <c r="S35" s="105">
        <v>181</v>
      </c>
      <c r="T35" s="22">
        <v>0</v>
      </c>
      <c r="U35" s="22">
        <v>2</v>
      </c>
    </row>
    <row r="36" spans="1:21" ht="15.95" customHeight="1">
      <c r="A36">
        <v>31</v>
      </c>
      <c r="B36" s="94">
        <v>2</v>
      </c>
      <c r="C36" s="90" t="s">
        <v>25</v>
      </c>
      <c r="D36" s="120" t="s">
        <v>26</v>
      </c>
      <c r="E36" s="57">
        <v>834</v>
      </c>
      <c r="F36" s="53">
        <v>0</v>
      </c>
      <c r="G36" s="53">
        <v>0</v>
      </c>
      <c r="H36" s="53">
        <v>2</v>
      </c>
      <c r="I36" s="54">
        <v>2</v>
      </c>
      <c r="J36" s="53">
        <v>1</v>
      </c>
      <c r="K36" s="53">
        <v>0</v>
      </c>
      <c r="L36" s="53">
        <v>2</v>
      </c>
      <c r="M36" s="55">
        <f>SUM(Tabla1[[#This Row],[Estado Civil]:[¿Cuál fue el factor decisivo para que sea bautizado?]])</f>
        <v>7</v>
      </c>
      <c r="N36" s="91">
        <v>137</v>
      </c>
      <c r="O36" s="92">
        <v>0.2</v>
      </c>
      <c r="P36" s="93"/>
      <c r="Q36" s="100">
        <f>SUM(Tabla1[[#This Row],[A RESCATAR]:[Paradero desconocido]])</f>
        <v>137.19999999999999</v>
      </c>
      <c r="R36" s="105">
        <v>150</v>
      </c>
      <c r="S36" s="105">
        <v>164</v>
      </c>
      <c r="T36" s="22">
        <v>0</v>
      </c>
      <c r="U36" s="22">
        <v>6</v>
      </c>
    </row>
    <row r="37" spans="1:21" ht="15.95" customHeight="1">
      <c r="A37">
        <v>32</v>
      </c>
      <c r="B37" s="94">
        <v>2</v>
      </c>
      <c r="C37" s="90" t="s">
        <v>31</v>
      </c>
      <c r="D37" s="120" t="s">
        <v>32</v>
      </c>
      <c r="E37" s="30">
        <v>718</v>
      </c>
      <c r="F37" s="53">
        <v>3</v>
      </c>
      <c r="G37" s="53">
        <v>12</v>
      </c>
      <c r="H37" s="53">
        <v>22</v>
      </c>
      <c r="I37" s="54">
        <v>4</v>
      </c>
      <c r="J37" s="53">
        <v>0</v>
      </c>
      <c r="K37" s="53">
        <v>4</v>
      </c>
      <c r="L37" s="56">
        <v>0</v>
      </c>
      <c r="M37" s="55">
        <f>SUM(Tabla1[[#This Row],[Estado Civil]:[¿Cuál fue el factor decisivo para que sea bautizado?]])</f>
        <v>45</v>
      </c>
      <c r="N37" s="91">
        <v>97</v>
      </c>
      <c r="O37" s="92">
        <v>0.14000000000000001</v>
      </c>
      <c r="P37" s="93">
        <v>19</v>
      </c>
      <c r="Q37" s="100">
        <f>SUM(Tabla1[[#This Row],[A RESCATAR]:[Paradero desconocido]])</f>
        <v>116.14</v>
      </c>
      <c r="R37" s="105">
        <v>180</v>
      </c>
      <c r="S37" s="105">
        <v>142</v>
      </c>
      <c r="T37" s="22">
        <v>5</v>
      </c>
      <c r="U37" s="22">
        <v>6</v>
      </c>
    </row>
    <row r="38" spans="1:21" ht="15.95" customHeight="1">
      <c r="A38">
        <v>33</v>
      </c>
      <c r="B38" s="87">
        <v>5</v>
      </c>
      <c r="C38" s="90" t="s">
        <v>67</v>
      </c>
      <c r="D38" s="120" t="s">
        <v>68</v>
      </c>
      <c r="E38" s="30">
        <v>506</v>
      </c>
      <c r="F38" s="53">
        <v>0</v>
      </c>
      <c r="G38" s="53">
        <v>37</v>
      </c>
      <c r="H38" s="53">
        <v>25</v>
      </c>
      <c r="I38" s="54">
        <v>65</v>
      </c>
      <c r="J38" s="53">
        <v>58</v>
      </c>
      <c r="K38" s="53">
        <v>68</v>
      </c>
      <c r="L38" s="56">
        <v>33</v>
      </c>
      <c r="M38" s="55">
        <v>0</v>
      </c>
      <c r="N38" s="91">
        <v>102</v>
      </c>
      <c r="O38" s="92">
        <v>0.22</v>
      </c>
      <c r="P38" s="93"/>
      <c r="Q38" s="100">
        <f>SUM(Tabla1[[#This Row],[A RESCATAR]:[Paradero desconocido]])</f>
        <v>102.22</v>
      </c>
      <c r="R38" s="105">
        <v>52</v>
      </c>
      <c r="S38" s="105">
        <v>98</v>
      </c>
      <c r="T38" s="22">
        <v>3</v>
      </c>
      <c r="U38" s="22">
        <v>3</v>
      </c>
    </row>
    <row r="39" spans="1:21" ht="15.95" customHeight="1">
      <c r="A39">
        <v>34</v>
      </c>
      <c r="B39" s="86">
        <v>4</v>
      </c>
      <c r="C39" s="90" t="s">
        <v>53</v>
      </c>
      <c r="D39" s="120" t="s">
        <v>54</v>
      </c>
      <c r="E39" s="57">
        <v>693</v>
      </c>
      <c r="F39" s="53">
        <v>0</v>
      </c>
      <c r="G39" s="53">
        <v>1</v>
      </c>
      <c r="H39" s="53">
        <v>1</v>
      </c>
      <c r="I39" s="54">
        <v>2</v>
      </c>
      <c r="J39" s="53">
        <v>0</v>
      </c>
      <c r="K39" s="53">
        <v>0</v>
      </c>
      <c r="L39" s="56">
        <v>0</v>
      </c>
      <c r="M39" s="55">
        <f>SUM(Tabla1[[#This Row],[Estado Civil]:[¿Cuál fue el factor decisivo para que sea bautizado?]])</f>
        <v>4</v>
      </c>
      <c r="N39" s="91">
        <v>76</v>
      </c>
      <c r="O39" s="92">
        <v>0.17</v>
      </c>
      <c r="P39" s="93">
        <v>14</v>
      </c>
      <c r="Q39" s="100">
        <f>SUM(Tabla1[[#This Row],[A RESCATAR]:[Paradero desconocido]])</f>
        <v>90.17</v>
      </c>
      <c r="R39" s="105">
        <v>73</v>
      </c>
      <c r="S39" s="105">
        <v>138</v>
      </c>
      <c r="T39" s="22">
        <v>4</v>
      </c>
      <c r="U39" s="22">
        <v>4</v>
      </c>
    </row>
    <row r="40" spans="1:21" ht="15.95" customHeight="1">
      <c r="A40">
        <v>35</v>
      </c>
      <c r="B40" s="87">
        <v>4</v>
      </c>
      <c r="C40" s="90" t="s">
        <v>65</v>
      </c>
      <c r="D40" s="120" t="s">
        <v>66</v>
      </c>
      <c r="E40" s="30">
        <v>801</v>
      </c>
      <c r="F40" s="53">
        <v>147</v>
      </c>
      <c r="G40" s="53">
        <v>230</v>
      </c>
      <c r="H40" s="53">
        <v>275</v>
      </c>
      <c r="I40" s="54">
        <v>351</v>
      </c>
      <c r="J40" s="53">
        <v>291</v>
      </c>
      <c r="K40" s="53">
        <v>347</v>
      </c>
      <c r="L40" s="56">
        <v>272</v>
      </c>
      <c r="M40" s="55">
        <f>SUM(Tabla1[[#This Row],[Estado Civil]:[¿Cuál fue el factor decisivo para que sea bautizado?]])</f>
        <v>1913</v>
      </c>
      <c r="N40" s="91">
        <v>129</v>
      </c>
      <c r="O40" s="92">
        <v>0.25</v>
      </c>
      <c r="P40" s="93">
        <v>16</v>
      </c>
      <c r="Q40" s="100">
        <f>SUM(Tabla1[[#This Row],[A RESCATAR]:[Paradero desconocido]])</f>
        <v>145.25</v>
      </c>
      <c r="R40" s="105">
        <v>78</v>
      </c>
      <c r="S40" s="105">
        <v>159</v>
      </c>
      <c r="T40" s="22">
        <v>4</v>
      </c>
      <c r="U40" s="22">
        <v>6</v>
      </c>
    </row>
    <row r="41" spans="1:21" ht="15.95" customHeight="1">
      <c r="A41">
        <v>36</v>
      </c>
      <c r="B41" s="87">
        <v>4</v>
      </c>
      <c r="C41" s="90" t="s">
        <v>57</v>
      </c>
      <c r="D41" s="120" t="s">
        <v>58</v>
      </c>
      <c r="E41" s="30">
        <v>909</v>
      </c>
      <c r="F41" s="53">
        <v>58</v>
      </c>
      <c r="G41" s="53">
        <v>219</v>
      </c>
      <c r="H41" s="53">
        <v>261</v>
      </c>
      <c r="I41" s="54">
        <v>348</v>
      </c>
      <c r="J41" s="53">
        <v>237</v>
      </c>
      <c r="K41" s="53">
        <v>383</v>
      </c>
      <c r="L41" s="56">
        <v>204</v>
      </c>
      <c r="M41" s="55">
        <f>SUM(Tabla1[[#This Row],[Estado Civil]:[¿Cuál fue el factor decisivo para que sea bautizado?]])</f>
        <v>1710</v>
      </c>
      <c r="N41" s="91">
        <v>101</v>
      </c>
      <c r="O41" s="92">
        <v>0.11</v>
      </c>
      <c r="P41" s="93">
        <v>23</v>
      </c>
      <c r="Q41" s="100">
        <f>SUM(Tabla1[[#This Row],[A RESCATAR]:[Paradero desconocido]])</f>
        <v>124.11</v>
      </c>
      <c r="R41" s="105">
        <v>185</v>
      </c>
      <c r="S41" s="105">
        <v>183</v>
      </c>
      <c r="T41" s="22">
        <v>2</v>
      </c>
      <c r="U41" s="22">
        <v>7</v>
      </c>
    </row>
    <row r="42" spans="1:21" ht="15.95" customHeight="1">
      <c r="A42">
        <v>37</v>
      </c>
      <c r="B42" s="87">
        <v>4</v>
      </c>
      <c r="C42" s="90" t="s">
        <v>59</v>
      </c>
      <c r="D42" s="120" t="s">
        <v>60</v>
      </c>
      <c r="E42" s="30">
        <v>926</v>
      </c>
      <c r="F42" s="53">
        <v>63</v>
      </c>
      <c r="G42" s="53">
        <v>103</v>
      </c>
      <c r="H42" s="53">
        <v>133</v>
      </c>
      <c r="I42" s="54">
        <v>236</v>
      </c>
      <c r="J42" s="53">
        <v>177</v>
      </c>
      <c r="K42" s="53">
        <v>246</v>
      </c>
      <c r="L42" s="56">
        <v>191</v>
      </c>
      <c r="M42" s="55">
        <f>SUM(Tabla1[[#This Row],[Estado Civil]:[¿Cuál fue el factor decisivo para que sea bautizado?]])</f>
        <v>1149</v>
      </c>
      <c r="N42" s="91">
        <v>177</v>
      </c>
      <c r="O42" s="92">
        <v>0.15</v>
      </c>
      <c r="P42" s="93">
        <v>17</v>
      </c>
      <c r="Q42" s="100">
        <f>SUM(Tabla1[[#This Row],[A RESCATAR]:[Paradero desconocido]])</f>
        <v>194.15</v>
      </c>
      <c r="R42" s="105">
        <v>83</v>
      </c>
      <c r="S42" s="105">
        <v>186</v>
      </c>
      <c r="T42" s="22">
        <v>5</v>
      </c>
      <c r="U42" s="22">
        <v>7</v>
      </c>
    </row>
    <row r="43" spans="1:21" ht="15.95" customHeight="1">
      <c r="A43">
        <v>38</v>
      </c>
      <c r="B43" s="87">
        <v>4</v>
      </c>
      <c r="C43" s="90" t="s">
        <v>61</v>
      </c>
      <c r="D43" s="120" t="s">
        <v>62</v>
      </c>
      <c r="E43" s="30">
        <v>934</v>
      </c>
      <c r="F43" s="53">
        <v>77</v>
      </c>
      <c r="G43" s="53">
        <v>217</v>
      </c>
      <c r="H43" s="53">
        <v>259</v>
      </c>
      <c r="I43" s="54">
        <v>357</v>
      </c>
      <c r="J43" s="53">
        <v>223</v>
      </c>
      <c r="K43" s="53">
        <v>291</v>
      </c>
      <c r="L43" s="56">
        <v>182</v>
      </c>
      <c r="M43" s="55">
        <f>SUM(Tabla1[[#This Row],[Estado Civil]:[¿Cuál fue el factor decisivo para que sea bautizado?]])</f>
        <v>1606</v>
      </c>
      <c r="N43" s="91">
        <v>109</v>
      </c>
      <c r="O43" s="92">
        <v>0.1</v>
      </c>
      <c r="P43" s="93">
        <v>5</v>
      </c>
      <c r="Q43" s="100">
        <f>SUM(Tabla1[[#This Row],[A RESCATAR]:[Paradero desconocido]])</f>
        <v>114.1</v>
      </c>
      <c r="R43" s="105">
        <v>176</v>
      </c>
      <c r="S43" s="105">
        <v>185</v>
      </c>
      <c r="T43" s="22">
        <v>5</v>
      </c>
      <c r="U43" s="22">
        <v>4</v>
      </c>
    </row>
    <row r="44" spans="1:21" ht="15.95" customHeight="1">
      <c r="A44">
        <v>39</v>
      </c>
      <c r="B44" s="1">
        <v>1</v>
      </c>
      <c r="C44" s="90" t="s">
        <v>21</v>
      </c>
      <c r="D44" s="121" t="s">
        <v>13</v>
      </c>
      <c r="E44" s="30">
        <v>783</v>
      </c>
      <c r="F44" s="53">
        <v>0</v>
      </c>
      <c r="G44" s="53">
        <v>1</v>
      </c>
      <c r="H44" s="53">
        <v>5</v>
      </c>
      <c r="I44" s="54">
        <v>76</v>
      </c>
      <c r="J44" s="53">
        <v>75</v>
      </c>
      <c r="K44" s="53">
        <v>146</v>
      </c>
      <c r="L44" s="56">
        <v>81</v>
      </c>
      <c r="M44" s="55">
        <f>SUM(Tabla1[[#This Row],[Estado Civil]:[¿Cuál fue el factor decisivo para que sea bautizado?]])</f>
        <v>384</v>
      </c>
      <c r="N44" s="91">
        <v>85</v>
      </c>
      <c r="O44" s="92">
        <v>0.11</v>
      </c>
      <c r="P44" s="93">
        <v>5</v>
      </c>
      <c r="Q44" s="100">
        <f>SUM(Tabla1[[#This Row],[A RESCATAR]:[Paradero desconocido]])</f>
        <v>90.11</v>
      </c>
      <c r="R44" s="105">
        <v>180</v>
      </c>
      <c r="S44" s="105">
        <v>156</v>
      </c>
      <c r="T44" s="22">
        <v>7</v>
      </c>
      <c r="U44" s="22">
        <v>8</v>
      </c>
    </row>
    <row r="45" spans="1:21" ht="15.95" customHeight="1">
      <c r="A45">
        <v>40</v>
      </c>
      <c r="B45" s="84">
        <v>1</v>
      </c>
      <c r="C45" s="90" t="s">
        <v>14</v>
      </c>
      <c r="D45" s="120" t="s">
        <v>15</v>
      </c>
      <c r="E45" s="30">
        <v>598</v>
      </c>
      <c r="F45" s="53">
        <v>0</v>
      </c>
      <c r="G45" s="53">
        <v>0</v>
      </c>
      <c r="H45" s="53">
        <v>0</v>
      </c>
      <c r="I45" s="54">
        <v>0</v>
      </c>
      <c r="J45" s="53">
        <v>1</v>
      </c>
      <c r="K45" s="53">
        <v>1</v>
      </c>
      <c r="L45" s="56">
        <v>1</v>
      </c>
      <c r="M45" s="55">
        <f>SUM(Tabla1[[#This Row],[Estado Civil]:[¿Cuál fue el factor decisivo para que sea bautizado?]])</f>
        <v>3</v>
      </c>
      <c r="N45" s="91">
        <v>50</v>
      </c>
      <c r="O45" s="92">
        <v>0.11</v>
      </c>
      <c r="P45" s="93">
        <v>0</v>
      </c>
      <c r="Q45" s="101">
        <f>SUM(Tabla1[[#This Row],[A RESCATAR]:[Paradero desconocido]])</f>
        <v>50.11</v>
      </c>
      <c r="R45" s="105">
        <v>93</v>
      </c>
      <c r="S45" s="105">
        <v>118</v>
      </c>
      <c r="T45" s="22">
        <v>0</v>
      </c>
      <c r="U45" s="22">
        <v>4</v>
      </c>
    </row>
    <row r="46" spans="1:21" ht="15.95" customHeight="1">
      <c r="A46">
        <v>41</v>
      </c>
      <c r="B46" s="1">
        <v>1</v>
      </c>
      <c r="C46" s="90" t="s">
        <v>23</v>
      </c>
      <c r="D46" s="120" t="s">
        <v>24</v>
      </c>
      <c r="E46" s="30">
        <v>1233</v>
      </c>
      <c r="F46" s="53">
        <v>1</v>
      </c>
      <c r="G46" s="53">
        <v>0</v>
      </c>
      <c r="H46" s="53">
        <v>3</v>
      </c>
      <c r="I46" s="54">
        <v>1</v>
      </c>
      <c r="J46" s="53">
        <v>0</v>
      </c>
      <c r="K46" s="53">
        <v>4</v>
      </c>
      <c r="L46" s="56">
        <v>0</v>
      </c>
      <c r="M46" s="55">
        <f>SUM(Tabla1[[#This Row],[Estado Civil]:[¿Cuál fue el factor decisivo para que sea bautizado?]])</f>
        <v>9</v>
      </c>
      <c r="N46" s="91">
        <v>185</v>
      </c>
      <c r="O46" s="92">
        <v>0.14000000000000001</v>
      </c>
      <c r="P46" s="93">
        <v>10</v>
      </c>
      <c r="Q46" s="100">
        <f>SUM(Tabla1[[#This Row],[A RESCATAR]:[Paradero desconocido]])</f>
        <v>195.14</v>
      </c>
      <c r="R46" s="105">
        <v>175</v>
      </c>
      <c r="S46" s="105">
        <v>249</v>
      </c>
      <c r="T46" s="22">
        <v>0</v>
      </c>
      <c r="U46" s="22">
        <v>4</v>
      </c>
    </row>
    <row r="47" spans="1:21" ht="15.95" customHeight="1">
      <c r="A47">
        <v>42</v>
      </c>
      <c r="B47" s="84">
        <v>1</v>
      </c>
      <c r="C47" s="90" t="s">
        <v>16</v>
      </c>
      <c r="D47" s="121" t="s">
        <v>28</v>
      </c>
      <c r="E47" s="57">
        <v>845</v>
      </c>
      <c r="F47" s="53">
        <v>0</v>
      </c>
      <c r="G47" s="53">
        <v>0</v>
      </c>
      <c r="H47" s="53">
        <v>0</v>
      </c>
      <c r="I47" s="54">
        <v>1</v>
      </c>
      <c r="J47" s="53">
        <v>0</v>
      </c>
      <c r="K47" s="53">
        <v>0</v>
      </c>
      <c r="L47" s="56">
        <v>0</v>
      </c>
      <c r="M47" s="55">
        <f>SUM(Tabla1[[#This Row],[Estado Civil]:[¿Cuál fue el factor decisivo para que sea bautizado?]])</f>
        <v>1</v>
      </c>
      <c r="N47" s="91">
        <v>208</v>
      </c>
      <c r="O47" s="92">
        <v>0.25</v>
      </c>
      <c r="P47" s="93">
        <v>13</v>
      </c>
      <c r="Q47" s="100">
        <f>SUM(Tabla1[[#This Row],[A RESCATAR]:[Paradero desconocido]])</f>
        <v>221.25</v>
      </c>
      <c r="R47" s="105">
        <v>131</v>
      </c>
      <c r="S47" s="105">
        <v>169</v>
      </c>
      <c r="T47" s="22">
        <v>4</v>
      </c>
      <c r="U47" s="22">
        <v>7</v>
      </c>
    </row>
    <row r="48" spans="1:21" ht="15.95" customHeight="1">
      <c r="A48">
        <v>43</v>
      </c>
      <c r="B48" s="94">
        <v>2</v>
      </c>
      <c r="C48" s="90" t="s">
        <v>35</v>
      </c>
      <c r="D48" s="120" t="s">
        <v>36</v>
      </c>
      <c r="E48" s="57">
        <v>558</v>
      </c>
      <c r="F48" s="53">
        <v>0</v>
      </c>
      <c r="G48" s="53">
        <v>3</v>
      </c>
      <c r="H48" s="53">
        <v>6</v>
      </c>
      <c r="I48" s="54">
        <v>3</v>
      </c>
      <c r="J48" s="53">
        <v>0</v>
      </c>
      <c r="K48" s="53">
        <v>1</v>
      </c>
      <c r="L48" s="56">
        <v>0</v>
      </c>
      <c r="M48" s="55">
        <f>SUM(Tabla1[[#This Row],[Estado Civil]:[¿Cuál fue el factor decisivo para que sea bautizado?]])</f>
        <v>13</v>
      </c>
      <c r="N48" s="91">
        <v>45</v>
      </c>
      <c r="O48" s="92">
        <v>0.17</v>
      </c>
      <c r="P48" s="93">
        <v>32</v>
      </c>
      <c r="Q48" s="100">
        <f>SUM(Tabla1[[#This Row],[A RESCATAR]:[Paradero desconocido]])</f>
        <v>77.17</v>
      </c>
      <c r="R48" s="105">
        <v>153</v>
      </c>
      <c r="S48" s="105">
        <v>114</v>
      </c>
      <c r="T48" s="22">
        <v>4</v>
      </c>
      <c r="U48" s="22">
        <v>5</v>
      </c>
    </row>
    <row r="49" spans="1:21" ht="15.95" customHeight="1">
      <c r="A49">
        <v>44</v>
      </c>
      <c r="B49" s="87">
        <v>4</v>
      </c>
      <c r="C49" s="95" t="s">
        <v>55</v>
      </c>
      <c r="D49" s="124" t="s">
        <v>56</v>
      </c>
      <c r="E49" s="116">
        <v>1022</v>
      </c>
      <c r="F49" s="58">
        <v>38</v>
      </c>
      <c r="G49" s="58">
        <v>169</v>
      </c>
      <c r="H49" s="58">
        <v>258</v>
      </c>
      <c r="I49" s="59">
        <v>397</v>
      </c>
      <c r="J49" s="58">
        <v>279</v>
      </c>
      <c r="K49" s="58">
        <v>409</v>
      </c>
      <c r="L49" s="60">
        <v>200</v>
      </c>
      <c r="M49" s="55">
        <f>SUM(Tabla1[[#This Row],[Estado Civil]:[¿Cuál fue el factor decisivo para que sea bautizado?]])</f>
        <v>1750</v>
      </c>
      <c r="N49" s="91">
        <v>214</v>
      </c>
      <c r="O49" s="92">
        <v>0.23</v>
      </c>
      <c r="P49" s="93">
        <v>71</v>
      </c>
      <c r="Q49" s="100">
        <f>SUM(Tabla1[[#This Row],[A RESCATAR]:[Paradero desconocido]])</f>
        <v>285.23</v>
      </c>
      <c r="R49" s="105">
        <v>191</v>
      </c>
      <c r="S49" s="105">
        <v>215</v>
      </c>
      <c r="T49" s="22">
        <v>4</v>
      </c>
      <c r="U49" s="22">
        <v>4</v>
      </c>
    </row>
    <row r="50" spans="1:21" ht="15.75">
      <c r="C50" s="85" t="s">
        <v>122</v>
      </c>
      <c r="D50" s="43"/>
      <c r="E50" s="44">
        <f>SUBTOTAL(109,Tabla1[[Miembros ]])</f>
        <v>34097</v>
      </c>
      <c r="F50" s="96">
        <f>SUBTOTAL(109,Tabla1[Estado Civil])</f>
        <v>841</v>
      </c>
      <c r="G50" s="96">
        <f>SUBTOTAL(109,Tabla1[[Formación académica ]])</f>
        <v>2509</v>
      </c>
      <c r="H50" s="96">
        <f>SUBTOTAL(109,Tabla1[Profesión/ocupación])</f>
        <v>3062</v>
      </c>
      <c r="I50" s="96">
        <f>SUBTOTAL(109,Tabla1[Religión Anterior])</f>
        <v>4734</v>
      </c>
      <c r="J50" s="96">
        <f>SUBTOTAL(109,Tabla1[¿Cómo conocio la IASD?])</f>
        <v>3380</v>
      </c>
      <c r="K50" s="96">
        <f>SUBTOTAL(109,Tabla1[¿Cómo estudiaste la Biblia?])</f>
        <v>4934</v>
      </c>
      <c r="L50" s="96">
        <f>SUBTOTAL(109,Tabla1[¿Cuál fue el factor decisivo para que sea bautizado?])</f>
        <v>2990</v>
      </c>
      <c r="M50" s="59">
        <f>SUBTOTAL(109,Tabla1[TOTAL POR ACTUALIZAR])</f>
        <v>22164</v>
      </c>
      <c r="N50" s="89">
        <f>SUBTOTAL(109,Tabla1[A RESCATAR])</f>
        <v>5072</v>
      </c>
      <c r="O50" s="58">
        <f>SUBTOTAL(109,Tabla1[%])</f>
        <v>6.85</v>
      </c>
      <c r="P50" s="89">
        <f>SUBTOTAL(109,Tabla1[Paradero desconocido])</f>
        <v>498</v>
      </c>
      <c r="Q50" s="58">
        <f>SUBTOTAL(109,Tabla1[Total por remover])</f>
        <v>5576.8499999999985</v>
      </c>
      <c r="R50" s="102">
        <f>SUBTOTAL(109,Tabla1[MIEMBROS CON 7ME])</f>
        <v>4630</v>
      </c>
      <c r="S50" s="102">
        <f>SUBTOTAL(109,Tabla1[META])</f>
        <v>6371</v>
      </c>
      <c r="T50" s="102">
        <f>SUBTOTAL(109,Tabla1[IGLESIAS SIN SECRETARIO ASOCIADO])</f>
        <v>134</v>
      </c>
      <c r="U50" s="102">
        <f>SUBTOTAL(109,Tabla1[SIN Anciano joven])</f>
        <v>201</v>
      </c>
    </row>
    <row r="51" spans="1:21">
      <c r="B51" s="20" t="s">
        <v>105</v>
      </c>
      <c r="C51">
        <v>33995</v>
      </c>
      <c r="F51" s="1">
        <f>+(Tabla1[[#Totals],[Estado Civil]]*100)/C51</f>
        <v>2.4738932195911163</v>
      </c>
      <c r="G51" s="1">
        <f>+(Tabla1[[#Totals],[Formación académica ]]*100)/C51</f>
        <v>7.3804971319311665</v>
      </c>
      <c r="H51" s="1">
        <f>+(Tabla1[[#Totals],[Profesión/ocupación]]*100)/C51</f>
        <v>9.0072069421973815</v>
      </c>
      <c r="I51" s="1">
        <f>(Tabla1[[#Totals],[Religión Anterior]]*100)/C51</f>
        <v>13.925577290778056</v>
      </c>
      <c r="J51" s="1">
        <f>(Tabla1[[#Totals],[¿Cómo conocio la IASD?]]*100)/C51</f>
        <v>9.9426386233269604</v>
      </c>
      <c r="K51" s="1">
        <f>(Tabla1[[#Totals],[¿Cómo estudiaste la Biblia?]]*100)/C51</f>
        <v>14.513899102809237</v>
      </c>
      <c r="L51" s="1">
        <f>+(Tabla1[[#Totals],[¿Cuál fue el factor decisivo para que sea bautizado?]]*100)/C51</f>
        <v>8.7954110898661568</v>
      </c>
      <c r="M51" s="1">
        <f>(Tabla1[[#Totals],[TOTAL POR ACTUALIZAR]]*100)/C51</f>
        <v>65.197823209295478</v>
      </c>
      <c r="N51" s="81"/>
      <c r="O51" s="81"/>
      <c r="Q51" s="78"/>
      <c r="R51">
        <f>+(Tabla1[[#Totals],[MIEMBROS CON 7ME]]*100)/C51</f>
        <v>13.619649948521841</v>
      </c>
    </row>
    <row r="52" spans="1:21">
      <c r="J52" s="1"/>
      <c r="L52" s="1"/>
      <c r="N52" s="81"/>
      <c r="O52" s="81"/>
      <c r="Q52" s="78"/>
    </row>
    <row r="53" spans="1:21">
      <c r="N53" s="81"/>
      <c r="O53" s="81"/>
      <c r="Q53" s="78"/>
    </row>
    <row r="54" spans="1:21">
      <c r="N54" s="81"/>
      <c r="O54" s="81"/>
      <c r="Q54" s="78"/>
    </row>
    <row r="55" spans="1:21">
      <c r="N55" s="81"/>
      <c r="O55" s="81"/>
      <c r="Q55" s="78"/>
    </row>
    <row r="56" spans="1:21" ht="30.75" customHeight="1">
      <c r="C56" s="133" t="s">
        <v>123</v>
      </c>
      <c r="D56" s="134"/>
      <c r="E56" s="134"/>
      <c r="F56" s="134"/>
      <c r="G56" s="135"/>
      <c r="N56" s="81"/>
      <c r="O56" s="81"/>
      <c r="Q56" s="78"/>
    </row>
    <row r="57" spans="1:21" ht="90">
      <c r="C57" s="22" t="s">
        <v>124</v>
      </c>
      <c r="D57" s="22"/>
      <c r="E57" s="62" t="s">
        <v>2</v>
      </c>
      <c r="F57" s="62" t="s">
        <v>125</v>
      </c>
      <c r="G57" s="23"/>
      <c r="N57" s="81"/>
      <c r="O57" s="81"/>
      <c r="Q57" s="61" t="s">
        <v>126</v>
      </c>
    </row>
    <row r="58" spans="1:21" ht="26.25">
      <c r="B58" s="1">
        <v>5</v>
      </c>
      <c r="C58" s="62" t="s">
        <v>127</v>
      </c>
      <c r="D58" s="22"/>
      <c r="E58" s="62" t="s">
        <v>73</v>
      </c>
      <c r="F58" s="62">
        <v>12</v>
      </c>
      <c r="G58" s="23"/>
      <c r="N58" s="81"/>
      <c r="O58" s="81"/>
    </row>
    <row r="59" spans="1:21">
      <c r="B59" s="1">
        <v>5</v>
      </c>
      <c r="C59" s="62" t="s">
        <v>128</v>
      </c>
      <c r="D59" s="22"/>
      <c r="E59" s="62" t="s">
        <v>71</v>
      </c>
      <c r="F59" s="62">
        <v>12</v>
      </c>
      <c r="G59" s="23"/>
      <c r="N59" s="81"/>
      <c r="O59" s="81"/>
    </row>
    <row r="60" spans="1:21" ht="26.25">
      <c r="B60" s="1">
        <v>7</v>
      </c>
      <c r="C60" s="62" t="s">
        <v>129</v>
      </c>
      <c r="D60" s="22"/>
      <c r="E60" s="62" t="s">
        <v>91</v>
      </c>
      <c r="F60" s="62">
        <v>12</v>
      </c>
      <c r="G60" s="23"/>
      <c r="N60" s="81"/>
      <c r="O60" s="81"/>
    </row>
    <row r="61" spans="1:21">
      <c r="B61" s="1">
        <v>4</v>
      </c>
      <c r="C61" s="62" t="s">
        <v>130</v>
      </c>
      <c r="D61" s="22"/>
      <c r="E61" s="62" t="s">
        <v>63</v>
      </c>
      <c r="F61" s="62">
        <v>12</v>
      </c>
      <c r="G61" s="23"/>
      <c r="N61" s="81"/>
      <c r="O61" s="81"/>
    </row>
    <row r="62" spans="1:21" ht="26.25">
      <c r="B62" s="1">
        <v>7</v>
      </c>
      <c r="C62" s="67" t="s">
        <v>131</v>
      </c>
      <c r="D62" s="22"/>
      <c r="E62" s="62" t="s">
        <v>91</v>
      </c>
      <c r="F62" s="67">
        <v>11</v>
      </c>
      <c r="G62" s="23"/>
      <c r="N62" s="81"/>
      <c r="O62" s="81"/>
    </row>
    <row r="63" spans="1:21">
      <c r="B63" s="1">
        <v>5</v>
      </c>
      <c r="C63" s="67" t="s">
        <v>132</v>
      </c>
      <c r="D63" s="22"/>
      <c r="E63" s="62" t="s">
        <v>67</v>
      </c>
      <c r="F63" s="67">
        <v>10</v>
      </c>
      <c r="G63" s="23"/>
      <c r="N63" s="81"/>
      <c r="O63" s="81"/>
    </row>
    <row r="64" spans="1:21">
      <c r="B64" s="1">
        <v>6</v>
      </c>
      <c r="C64" s="62" t="s">
        <v>133</v>
      </c>
      <c r="D64" s="22"/>
      <c r="E64" s="62" t="s">
        <v>79</v>
      </c>
      <c r="F64" s="67">
        <v>4</v>
      </c>
      <c r="G64" s="23" t="s">
        <v>134</v>
      </c>
      <c r="N64" s="81"/>
      <c r="O64" s="81"/>
    </row>
    <row r="65" spans="2:15">
      <c r="B65" s="1">
        <v>1</v>
      </c>
      <c r="C65" s="62" t="s">
        <v>135</v>
      </c>
      <c r="D65" s="22"/>
      <c r="E65" s="62" t="s">
        <v>12</v>
      </c>
      <c r="F65" s="67">
        <v>7</v>
      </c>
      <c r="G65" s="23" t="s">
        <v>134</v>
      </c>
      <c r="N65" s="81"/>
      <c r="O65" s="81"/>
    </row>
    <row r="66" spans="2:15">
      <c r="B66" s="1">
        <v>2</v>
      </c>
      <c r="C66" s="62" t="s">
        <v>136</v>
      </c>
      <c r="D66" s="22"/>
      <c r="E66" s="62" t="s">
        <v>25</v>
      </c>
      <c r="F66" s="67">
        <v>4</v>
      </c>
      <c r="G66" s="23" t="s">
        <v>134</v>
      </c>
      <c r="N66" s="81"/>
      <c r="O66" s="81"/>
    </row>
    <row r="69" spans="2:15" ht="30.75" customHeight="1">
      <c r="C69" s="136" t="s">
        <v>137</v>
      </c>
      <c r="D69" s="136"/>
      <c r="E69" s="136"/>
      <c r="F69" s="136"/>
      <c r="N69" s="81"/>
      <c r="O69" s="81"/>
    </row>
    <row r="72" spans="2:15" ht="45">
      <c r="B72" s="66" t="s">
        <v>1</v>
      </c>
      <c r="C72" s="64" t="s">
        <v>138</v>
      </c>
      <c r="D72" s="24"/>
      <c r="E72" s="65" t="s">
        <v>125</v>
      </c>
      <c r="F72" s="65" t="s">
        <v>2</v>
      </c>
      <c r="N72" s="81"/>
      <c r="O72" s="81"/>
    </row>
    <row r="73" spans="2:15" ht="26.25">
      <c r="B73" s="74">
        <v>6</v>
      </c>
      <c r="C73" s="63" t="s">
        <v>139</v>
      </c>
      <c r="D73" s="22"/>
      <c r="E73" s="62">
        <v>27</v>
      </c>
      <c r="F73" s="62" t="s">
        <v>81</v>
      </c>
      <c r="N73" s="81"/>
      <c r="O73" s="81"/>
    </row>
    <row r="74" spans="2:15">
      <c r="B74" s="68">
        <v>1</v>
      </c>
      <c r="C74" s="69" t="s">
        <v>140</v>
      </c>
      <c r="D74" s="22"/>
      <c r="E74" s="62">
        <v>33</v>
      </c>
      <c r="F74" s="67" t="s">
        <v>23</v>
      </c>
      <c r="N74" s="81"/>
      <c r="O74" s="81"/>
    </row>
    <row r="75" spans="2:15" ht="26.25">
      <c r="B75" s="70">
        <v>2</v>
      </c>
      <c r="C75" s="71" t="s">
        <v>141</v>
      </c>
      <c r="D75" s="22"/>
      <c r="E75" s="62">
        <v>34</v>
      </c>
      <c r="F75" s="72" t="s">
        <v>29</v>
      </c>
      <c r="N75" s="81"/>
      <c r="O75" s="81"/>
    </row>
    <row r="76" spans="2:15" ht="26.25">
      <c r="B76" s="74">
        <v>6</v>
      </c>
      <c r="C76" s="63" t="s">
        <v>142</v>
      </c>
      <c r="D76" s="22"/>
      <c r="E76" s="62">
        <v>32</v>
      </c>
      <c r="F76" s="62" t="s">
        <v>79</v>
      </c>
      <c r="N76" s="81"/>
      <c r="O76" s="81"/>
    </row>
    <row r="77" spans="2:15">
      <c r="B77" s="73">
        <v>5</v>
      </c>
      <c r="C77" s="63" t="s">
        <v>143</v>
      </c>
      <c r="D77" s="22"/>
      <c r="E77" s="62">
        <v>28</v>
      </c>
      <c r="F77" s="62" t="s">
        <v>75</v>
      </c>
      <c r="N77" s="81"/>
      <c r="O77" s="81"/>
    </row>
    <row r="78" spans="2:15">
      <c r="B78" s="73">
        <v>5</v>
      </c>
      <c r="C78" s="63" t="s">
        <v>144</v>
      </c>
      <c r="D78" s="22"/>
      <c r="E78" s="62">
        <v>34</v>
      </c>
      <c r="F78" s="62" t="s">
        <v>71</v>
      </c>
      <c r="N78" s="81"/>
      <c r="O78" s="81"/>
    </row>
    <row r="79" spans="2:15">
      <c r="B79" s="73">
        <v>5</v>
      </c>
      <c r="C79" s="63" t="s">
        <v>145</v>
      </c>
      <c r="D79" s="22"/>
      <c r="E79" s="62">
        <v>32</v>
      </c>
      <c r="F79" s="62" t="s">
        <v>71</v>
      </c>
      <c r="N79" s="81"/>
      <c r="O79" s="81"/>
    </row>
    <row r="80" spans="2:15">
      <c r="B80" s="68">
        <v>1</v>
      </c>
      <c r="C80" s="69" t="s">
        <v>146</v>
      </c>
      <c r="D80" s="22"/>
      <c r="E80" s="62">
        <v>25</v>
      </c>
      <c r="F80" s="67" t="s">
        <v>21</v>
      </c>
      <c r="N80" s="81"/>
      <c r="O80" s="81"/>
    </row>
    <row r="81" spans="2:15">
      <c r="N81" s="81"/>
      <c r="O81" s="81"/>
    </row>
    <row r="83" spans="2:15">
      <c r="C83" t="s">
        <v>147</v>
      </c>
      <c r="N83" s="81"/>
      <c r="O83" s="81"/>
    </row>
    <row r="85" spans="2:15">
      <c r="C85" s="61" t="s">
        <v>138</v>
      </c>
      <c r="D85" t="s">
        <v>125</v>
      </c>
      <c r="E85" s="1" t="s">
        <v>2</v>
      </c>
      <c r="N85" s="81"/>
      <c r="O85" s="81"/>
    </row>
    <row r="86" spans="2:15" ht="15" customHeight="1">
      <c r="B86" s="66" t="s">
        <v>148</v>
      </c>
      <c r="C86" s="61" t="s">
        <v>149</v>
      </c>
      <c r="D86">
        <v>44</v>
      </c>
      <c r="E86" s="61" t="s">
        <v>12</v>
      </c>
      <c r="N86" s="81"/>
      <c r="O86" s="81"/>
    </row>
    <row r="87" spans="2:15" ht="15" customHeight="1">
      <c r="B87" s="66" t="s">
        <v>150</v>
      </c>
      <c r="C87" s="61" t="s">
        <v>151</v>
      </c>
      <c r="D87">
        <v>45</v>
      </c>
      <c r="E87" s="61" t="s">
        <v>63</v>
      </c>
      <c r="N87" s="81"/>
      <c r="O87" s="81"/>
    </row>
    <row r="88" spans="2:15" ht="15" customHeight="1">
      <c r="B88" s="66" t="s">
        <v>150</v>
      </c>
      <c r="C88" s="61" t="s">
        <v>152</v>
      </c>
      <c r="D88">
        <v>64</v>
      </c>
      <c r="E88" s="61" t="s">
        <v>65</v>
      </c>
      <c r="N88" s="81"/>
      <c r="O88" s="81"/>
    </row>
    <row r="89" spans="2:15" ht="15" customHeight="1">
      <c r="B89" s="66" t="s">
        <v>150</v>
      </c>
      <c r="C89" s="61" t="s">
        <v>153</v>
      </c>
      <c r="D89">
        <v>57</v>
      </c>
      <c r="E89" s="61" t="s">
        <v>65</v>
      </c>
      <c r="N89" s="81"/>
      <c r="O89" s="81"/>
    </row>
    <row r="90" spans="2:15" ht="15" customHeight="1">
      <c r="B90" s="66" t="s">
        <v>154</v>
      </c>
      <c r="C90" s="61" t="s">
        <v>144</v>
      </c>
      <c r="D90">
        <v>34</v>
      </c>
      <c r="E90" s="61" t="s">
        <v>71</v>
      </c>
      <c r="N90" s="81"/>
      <c r="O90" s="81"/>
    </row>
    <row r="91" spans="2:15" ht="15" customHeight="1">
      <c r="B91" s="66" t="s">
        <v>154</v>
      </c>
      <c r="C91" s="61" t="s">
        <v>155</v>
      </c>
      <c r="D91">
        <v>55</v>
      </c>
      <c r="E91" s="61" t="s">
        <v>71</v>
      </c>
      <c r="N91" s="81"/>
      <c r="O91" s="81"/>
    </row>
    <row r="92" spans="2:15" ht="15" customHeight="1">
      <c r="B92" s="66" t="s">
        <v>154</v>
      </c>
      <c r="C92" s="61" t="s">
        <v>156</v>
      </c>
      <c r="D92">
        <v>40</v>
      </c>
      <c r="E92" s="61" t="s">
        <v>75</v>
      </c>
      <c r="N92" s="81"/>
      <c r="O92" s="81"/>
    </row>
    <row r="93" spans="2:15" ht="15" customHeight="1">
      <c r="B93" s="66" t="s">
        <v>157</v>
      </c>
      <c r="C93" s="61" t="s">
        <v>158</v>
      </c>
      <c r="D93">
        <v>74</v>
      </c>
      <c r="E93" s="61" t="s">
        <v>91</v>
      </c>
      <c r="N93" s="81"/>
      <c r="O93" s="81"/>
    </row>
    <row r="94" spans="2:15" ht="15" customHeight="1">
      <c r="N94" s="81"/>
      <c r="O94" s="81"/>
    </row>
    <row r="95" spans="2:15" ht="15" customHeight="1">
      <c r="B95" s="137" t="s">
        <v>159</v>
      </c>
      <c r="C95" s="136"/>
      <c r="D95" s="136"/>
      <c r="E95" s="136"/>
      <c r="N95" s="81"/>
      <c r="O95" s="81"/>
    </row>
    <row r="96" spans="2:15" ht="15" customHeight="1">
      <c r="N96" s="81"/>
      <c r="O96" s="81"/>
    </row>
    <row r="97" spans="2:15" ht="15" customHeight="1">
      <c r="B97" s="1" t="s">
        <v>148</v>
      </c>
      <c r="C97" s="61" t="s">
        <v>160</v>
      </c>
      <c r="E97" s="61" t="s">
        <v>12</v>
      </c>
      <c r="N97" s="81"/>
      <c r="O97" s="81"/>
    </row>
    <row r="98" spans="2:15" ht="15" customHeight="1">
      <c r="B98" s="1" t="s">
        <v>148</v>
      </c>
      <c r="C98" s="61" t="s">
        <v>135</v>
      </c>
      <c r="E98" s="61" t="s">
        <v>12</v>
      </c>
      <c r="N98" s="81"/>
      <c r="O98" s="81"/>
    </row>
    <row r="99" spans="2:15">
      <c r="B99" s="1" t="s">
        <v>148</v>
      </c>
      <c r="C99" s="61" t="s">
        <v>161</v>
      </c>
      <c r="E99" s="61" t="s">
        <v>23</v>
      </c>
      <c r="N99" s="81"/>
      <c r="O99" s="81"/>
    </row>
    <row r="100" spans="2:15" ht="30">
      <c r="B100" s="1" t="s">
        <v>162</v>
      </c>
      <c r="C100" s="61" t="s">
        <v>163</v>
      </c>
      <c r="E100" s="61" t="s">
        <v>27</v>
      </c>
      <c r="N100" s="81"/>
      <c r="O100" s="81"/>
    </row>
    <row r="101" spans="2:15" ht="30">
      <c r="B101" s="1" t="s">
        <v>162</v>
      </c>
      <c r="C101" s="61" t="s">
        <v>164</v>
      </c>
      <c r="E101" s="61" t="s">
        <v>29</v>
      </c>
      <c r="N101" s="81"/>
      <c r="O101" s="81"/>
    </row>
    <row r="102" spans="2:15">
      <c r="B102" s="1" t="s">
        <v>162</v>
      </c>
      <c r="C102" s="61" t="s">
        <v>165</v>
      </c>
      <c r="E102" s="61" t="s">
        <v>35</v>
      </c>
      <c r="N102" s="81"/>
      <c r="O102" s="81"/>
    </row>
    <row r="103" spans="2:15" ht="30">
      <c r="B103" s="1" t="s">
        <v>166</v>
      </c>
      <c r="C103" s="61" t="s">
        <v>167</v>
      </c>
      <c r="E103" s="61" t="s">
        <v>41</v>
      </c>
      <c r="N103" s="81"/>
      <c r="O103" s="81"/>
    </row>
    <row r="104" spans="2:15" ht="30">
      <c r="B104" s="1" t="s">
        <v>166</v>
      </c>
      <c r="C104" s="61" t="s">
        <v>168</v>
      </c>
      <c r="E104" s="61" t="s">
        <v>41</v>
      </c>
      <c r="N104" s="81"/>
      <c r="O104" s="81"/>
    </row>
    <row r="105" spans="2:15">
      <c r="B105" s="1" t="s">
        <v>166</v>
      </c>
      <c r="C105" s="61" t="s">
        <v>169</v>
      </c>
      <c r="E105" s="61" t="s">
        <v>43</v>
      </c>
      <c r="N105" s="81"/>
      <c r="O105" s="81"/>
    </row>
    <row r="106" spans="2:15">
      <c r="B106" s="1" t="s">
        <v>166</v>
      </c>
      <c r="C106" s="61" t="s">
        <v>170</v>
      </c>
      <c r="E106" s="61" t="s">
        <v>43</v>
      </c>
      <c r="N106" s="81"/>
      <c r="O106" s="81"/>
    </row>
    <row r="107" spans="2:15" ht="30">
      <c r="B107" s="1" t="s">
        <v>150</v>
      </c>
      <c r="C107" s="61" t="s">
        <v>171</v>
      </c>
      <c r="E107" s="61" t="s">
        <v>53</v>
      </c>
      <c r="N107" s="81"/>
      <c r="O107" s="81"/>
    </row>
    <row r="108" spans="2:15" ht="30">
      <c r="B108" s="1" t="s">
        <v>150</v>
      </c>
      <c r="C108" s="61" t="s">
        <v>172</v>
      </c>
      <c r="E108" s="61" t="s">
        <v>65</v>
      </c>
      <c r="N108" s="81"/>
      <c r="O108" s="81"/>
    </row>
    <row r="109" spans="2:15" ht="30">
      <c r="B109" s="1" t="s">
        <v>150</v>
      </c>
      <c r="C109" s="61" t="s">
        <v>173</v>
      </c>
      <c r="E109" s="61" t="s">
        <v>57</v>
      </c>
      <c r="N109" s="81"/>
      <c r="O109" s="81"/>
    </row>
    <row r="110" spans="2:15" ht="30">
      <c r="B110" s="1" t="s">
        <v>150</v>
      </c>
      <c r="C110" s="61" t="s">
        <v>174</v>
      </c>
      <c r="E110" s="61" t="s">
        <v>59</v>
      </c>
      <c r="N110" s="81"/>
      <c r="O110" s="81"/>
    </row>
    <row r="111" spans="2:15" ht="30">
      <c r="B111" s="1" t="s">
        <v>150</v>
      </c>
      <c r="C111" s="61" t="s">
        <v>175</v>
      </c>
      <c r="E111" s="61" t="s">
        <v>59</v>
      </c>
      <c r="N111" s="81"/>
      <c r="O111" s="81"/>
    </row>
    <row r="112" spans="2:15" ht="30">
      <c r="B112" s="1" t="s">
        <v>150</v>
      </c>
      <c r="C112" s="61" t="s">
        <v>176</v>
      </c>
      <c r="E112" s="61" t="s">
        <v>59</v>
      </c>
      <c r="N112" s="81"/>
      <c r="O112" s="81"/>
    </row>
    <row r="113" spans="2:15" ht="30">
      <c r="B113" s="1" t="s">
        <v>150</v>
      </c>
      <c r="C113" s="61" t="s">
        <v>177</v>
      </c>
      <c r="E113" s="61" t="s">
        <v>61</v>
      </c>
      <c r="N113" s="81"/>
      <c r="O113" s="81"/>
    </row>
    <row r="114" spans="2:15">
      <c r="B114" s="1" t="s">
        <v>150</v>
      </c>
      <c r="C114" s="61" t="s">
        <v>178</v>
      </c>
      <c r="E114" s="61" t="s">
        <v>55</v>
      </c>
      <c r="N114" s="81"/>
      <c r="O114" s="81"/>
    </row>
    <row r="115" spans="2:15" ht="30">
      <c r="B115" s="1" t="s">
        <v>154</v>
      </c>
      <c r="C115" s="61" t="s">
        <v>127</v>
      </c>
      <c r="E115" s="61" t="s">
        <v>73</v>
      </c>
      <c r="N115" s="81"/>
      <c r="O115" s="81"/>
    </row>
    <row r="116" spans="2:15" ht="30">
      <c r="B116" s="1" t="s">
        <v>154</v>
      </c>
      <c r="C116" s="61" t="s">
        <v>179</v>
      </c>
      <c r="E116" s="61" t="s">
        <v>73</v>
      </c>
      <c r="N116" s="81"/>
      <c r="O116" s="81"/>
    </row>
    <row r="117" spans="2:15" ht="30">
      <c r="B117" s="1" t="s">
        <v>154</v>
      </c>
      <c r="C117" s="61" t="s">
        <v>180</v>
      </c>
      <c r="E117" s="61" t="s">
        <v>73</v>
      </c>
      <c r="N117" s="81"/>
      <c r="O117" s="81"/>
    </row>
    <row r="118" spans="2:15" ht="30">
      <c r="B118" s="1" t="s">
        <v>154</v>
      </c>
      <c r="C118" s="61" t="s">
        <v>181</v>
      </c>
      <c r="E118" s="61" t="s">
        <v>73</v>
      </c>
      <c r="N118" s="81"/>
      <c r="O118" s="81"/>
    </row>
    <row r="119" spans="2:15" ht="30">
      <c r="B119" s="1" t="s">
        <v>154</v>
      </c>
      <c r="C119" s="61" t="s">
        <v>182</v>
      </c>
      <c r="E119" s="61" t="s">
        <v>73</v>
      </c>
      <c r="N119" s="81"/>
      <c r="O119" s="81"/>
    </row>
    <row r="120" spans="2:15" ht="30">
      <c r="B120" s="1" t="s">
        <v>154</v>
      </c>
      <c r="C120" s="61" t="s">
        <v>183</v>
      </c>
      <c r="E120" s="61" t="s">
        <v>73</v>
      </c>
      <c r="N120" s="81"/>
      <c r="O120" s="81"/>
    </row>
    <row r="121" spans="2:15" ht="30">
      <c r="B121" s="1" t="s">
        <v>154</v>
      </c>
      <c r="C121" s="61" t="s">
        <v>184</v>
      </c>
      <c r="E121" s="61" t="s">
        <v>73</v>
      </c>
      <c r="N121" s="81"/>
      <c r="O121" s="81"/>
    </row>
    <row r="122" spans="2:15" ht="30">
      <c r="B122" s="1" t="s">
        <v>154</v>
      </c>
      <c r="C122" s="61" t="s">
        <v>185</v>
      </c>
      <c r="E122" s="61" t="s">
        <v>77</v>
      </c>
      <c r="N122" s="81"/>
      <c r="O122" s="81"/>
    </row>
    <row r="123" spans="2:15" ht="30">
      <c r="B123" s="1" t="s">
        <v>154</v>
      </c>
      <c r="C123" s="61" t="s">
        <v>186</v>
      </c>
      <c r="E123" s="61" t="s">
        <v>77</v>
      </c>
      <c r="N123" s="81"/>
      <c r="O123" s="81"/>
    </row>
    <row r="124" spans="2:15" ht="30">
      <c r="B124" s="1" t="s">
        <v>154</v>
      </c>
      <c r="C124" s="61" t="s">
        <v>187</v>
      </c>
      <c r="E124" s="61" t="s">
        <v>77</v>
      </c>
      <c r="N124" s="81"/>
      <c r="O124" s="81"/>
    </row>
    <row r="125" spans="2:15" ht="30">
      <c r="B125" s="1" t="s">
        <v>154</v>
      </c>
      <c r="C125" s="61" t="s">
        <v>188</v>
      </c>
      <c r="E125" s="61" t="s">
        <v>77</v>
      </c>
      <c r="N125" s="81"/>
      <c r="O125" s="81"/>
    </row>
    <row r="126" spans="2:15">
      <c r="B126" s="1" t="s">
        <v>154</v>
      </c>
      <c r="C126" s="61" t="s">
        <v>189</v>
      </c>
      <c r="E126" s="61" t="s">
        <v>71</v>
      </c>
      <c r="N126" s="81"/>
      <c r="O126" s="81"/>
    </row>
    <row r="127" spans="2:15">
      <c r="B127" s="1" t="s">
        <v>154</v>
      </c>
      <c r="C127" s="61" t="s">
        <v>190</v>
      </c>
      <c r="E127" s="61" t="s">
        <v>71</v>
      </c>
      <c r="N127" s="81"/>
      <c r="O127" s="81"/>
    </row>
    <row r="128" spans="2:15">
      <c r="B128" s="1" t="s">
        <v>154</v>
      </c>
      <c r="C128" s="61" t="s">
        <v>128</v>
      </c>
      <c r="E128" s="61" t="s">
        <v>71</v>
      </c>
      <c r="N128" s="81"/>
      <c r="O128" s="81"/>
    </row>
    <row r="129" spans="2:15">
      <c r="B129" s="1" t="s">
        <v>154</v>
      </c>
      <c r="C129" s="61" t="s">
        <v>191</v>
      </c>
      <c r="E129" s="61" t="s">
        <v>71</v>
      </c>
      <c r="N129" s="81"/>
      <c r="O129" s="81"/>
    </row>
    <row r="130" spans="2:15">
      <c r="B130" s="1" t="s">
        <v>154</v>
      </c>
      <c r="C130" s="61" t="s">
        <v>192</v>
      </c>
      <c r="E130" s="61" t="s">
        <v>71</v>
      </c>
      <c r="N130" s="81"/>
      <c r="O130" s="81"/>
    </row>
    <row r="131" spans="2:15">
      <c r="B131" s="1" t="s">
        <v>154</v>
      </c>
      <c r="C131" s="61" t="s">
        <v>193</v>
      </c>
      <c r="E131" s="61" t="s">
        <v>71</v>
      </c>
      <c r="N131" s="81"/>
      <c r="O131" s="81"/>
    </row>
    <row r="132" spans="2:15">
      <c r="B132" s="1" t="s">
        <v>154</v>
      </c>
      <c r="C132" s="61" t="s">
        <v>194</v>
      </c>
      <c r="E132" s="61" t="s">
        <v>71</v>
      </c>
      <c r="N132" s="81"/>
      <c r="O132" s="81"/>
    </row>
    <row r="133" spans="2:15">
      <c r="B133" s="1" t="s">
        <v>154</v>
      </c>
      <c r="C133" s="61" t="s">
        <v>195</v>
      </c>
      <c r="E133" s="61" t="s">
        <v>69</v>
      </c>
      <c r="N133" s="81"/>
      <c r="O133" s="81"/>
    </row>
    <row r="134" spans="2:15">
      <c r="B134" s="1" t="s">
        <v>154</v>
      </c>
      <c r="C134" s="61" t="s">
        <v>196</v>
      </c>
      <c r="E134" s="61" t="s">
        <v>69</v>
      </c>
      <c r="N134" s="81"/>
      <c r="O134" s="81"/>
    </row>
    <row r="135" spans="2:15">
      <c r="B135" s="1" t="s">
        <v>154</v>
      </c>
      <c r="C135" s="61" t="s">
        <v>197</v>
      </c>
      <c r="E135" s="61" t="s">
        <v>69</v>
      </c>
      <c r="N135" s="81"/>
      <c r="O135" s="81"/>
    </row>
    <row r="136" spans="2:15">
      <c r="B136" s="1" t="s">
        <v>154</v>
      </c>
      <c r="C136" s="61" t="s">
        <v>198</v>
      </c>
      <c r="E136" s="61" t="s">
        <v>69</v>
      </c>
      <c r="N136" s="81"/>
      <c r="O136" s="81"/>
    </row>
    <row r="137" spans="2:15">
      <c r="B137" s="1" t="s">
        <v>154</v>
      </c>
      <c r="C137" s="61" t="s">
        <v>199</v>
      </c>
      <c r="E137" s="61" t="s">
        <v>75</v>
      </c>
      <c r="N137" s="81"/>
      <c r="O137" s="81"/>
    </row>
    <row r="138" spans="2:15">
      <c r="B138" s="1" t="s">
        <v>154</v>
      </c>
      <c r="C138" s="61" t="s">
        <v>200</v>
      </c>
      <c r="E138" s="61" t="s">
        <v>75</v>
      </c>
      <c r="N138" s="81"/>
      <c r="O138" s="81"/>
    </row>
    <row r="139" spans="2:15">
      <c r="B139" s="1" t="s">
        <v>154</v>
      </c>
      <c r="C139" s="61" t="s">
        <v>201</v>
      </c>
      <c r="E139" s="61" t="s">
        <v>75</v>
      </c>
      <c r="N139" s="81"/>
      <c r="O139" s="81"/>
    </row>
    <row r="140" spans="2:15">
      <c r="B140" s="1" t="s">
        <v>154</v>
      </c>
      <c r="C140" s="61" t="s">
        <v>202</v>
      </c>
      <c r="E140" s="61" t="s">
        <v>75</v>
      </c>
      <c r="N140" s="81"/>
      <c r="O140" s="81"/>
    </row>
    <row r="141" spans="2:15">
      <c r="B141" s="1" t="s">
        <v>154</v>
      </c>
      <c r="C141" s="61" t="s">
        <v>203</v>
      </c>
      <c r="E141" s="61" t="s">
        <v>67</v>
      </c>
      <c r="N141" s="81"/>
      <c r="O141" s="81"/>
    </row>
    <row r="142" spans="2:15">
      <c r="B142" s="1" t="s">
        <v>204</v>
      </c>
      <c r="C142" s="61" t="s">
        <v>205</v>
      </c>
      <c r="E142" s="61" t="s">
        <v>79</v>
      </c>
      <c r="N142" s="81"/>
      <c r="O142" s="81"/>
    </row>
    <row r="143" spans="2:15" ht="30">
      <c r="B143" s="1" t="s">
        <v>204</v>
      </c>
      <c r="C143" s="61" t="s">
        <v>206</v>
      </c>
      <c r="E143" s="61" t="s">
        <v>83</v>
      </c>
      <c r="N143" s="81"/>
      <c r="O143" s="81"/>
    </row>
    <row r="144" spans="2:15">
      <c r="B144" s="1" t="s">
        <v>204</v>
      </c>
      <c r="C144" s="61" t="s">
        <v>207</v>
      </c>
      <c r="E144" s="61" t="s">
        <v>89</v>
      </c>
      <c r="N144" s="81"/>
      <c r="O144" s="81"/>
    </row>
    <row r="145" spans="2:15">
      <c r="B145" s="1" t="s">
        <v>204</v>
      </c>
      <c r="C145" s="61" t="s">
        <v>208</v>
      </c>
      <c r="E145" s="61" t="s">
        <v>89</v>
      </c>
      <c r="N145" s="81"/>
      <c r="O145" s="81"/>
    </row>
    <row r="146" spans="2:15">
      <c r="B146" s="1" t="s">
        <v>204</v>
      </c>
      <c r="C146" s="61" t="s">
        <v>209</v>
      </c>
      <c r="E146" s="61" t="s">
        <v>89</v>
      </c>
      <c r="N146" s="81"/>
      <c r="O146" s="81"/>
    </row>
    <row r="147" spans="2:15">
      <c r="B147" s="1" t="s">
        <v>204</v>
      </c>
      <c r="C147" s="61" t="s">
        <v>210</v>
      </c>
      <c r="E147" s="61" t="s">
        <v>89</v>
      </c>
      <c r="N147" s="81"/>
      <c r="O147" s="81"/>
    </row>
    <row r="148" spans="2:15">
      <c r="B148" s="1" t="s">
        <v>204</v>
      </c>
      <c r="C148" s="61" t="s">
        <v>211</v>
      </c>
      <c r="E148" s="61" t="s">
        <v>89</v>
      </c>
      <c r="N148" s="81"/>
      <c r="O148" s="81"/>
    </row>
    <row r="149" spans="2:15">
      <c r="B149" s="1" t="s">
        <v>157</v>
      </c>
      <c r="C149" s="61" t="s">
        <v>212</v>
      </c>
      <c r="E149" s="61" t="s">
        <v>93</v>
      </c>
      <c r="N149" s="81"/>
      <c r="O149" s="81"/>
    </row>
    <row r="150" spans="2:15" ht="45">
      <c r="B150" s="1" t="s">
        <v>157</v>
      </c>
      <c r="C150" s="61" t="s">
        <v>213</v>
      </c>
      <c r="E150" s="61" t="s">
        <v>97</v>
      </c>
      <c r="N150" s="81"/>
      <c r="O150" s="81"/>
    </row>
    <row r="151" spans="2:15" ht="45">
      <c r="B151" s="1" t="s">
        <v>157</v>
      </c>
      <c r="C151" s="61" t="s">
        <v>214</v>
      </c>
      <c r="E151" s="61" t="s">
        <v>97</v>
      </c>
      <c r="N151" s="81"/>
      <c r="O151" s="81"/>
    </row>
    <row r="152" spans="2:15" ht="30">
      <c r="B152" s="1" t="s">
        <v>157</v>
      </c>
      <c r="C152" s="61" t="s">
        <v>215</v>
      </c>
      <c r="E152" s="61" t="s">
        <v>91</v>
      </c>
      <c r="N152" s="81"/>
      <c r="O152" s="81"/>
    </row>
    <row r="153" spans="2:15" ht="30">
      <c r="B153" s="1" t="s">
        <v>157</v>
      </c>
      <c r="C153" s="61" t="s">
        <v>129</v>
      </c>
      <c r="E153" s="61" t="s">
        <v>91</v>
      </c>
      <c r="N153" s="81"/>
      <c r="O153" s="81"/>
    </row>
    <row r="154" spans="2:15" ht="30">
      <c r="B154" s="1" t="s">
        <v>157</v>
      </c>
      <c r="C154" s="61" t="s">
        <v>131</v>
      </c>
      <c r="E154" s="61" t="s">
        <v>91</v>
      </c>
      <c r="N154" s="81"/>
      <c r="O154" s="81"/>
    </row>
    <row r="155" spans="2:15" ht="30">
      <c r="B155" s="1" t="s">
        <v>157</v>
      </c>
      <c r="C155" s="61" t="s">
        <v>216</v>
      </c>
      <c r="E155" s="61" t="s">
        <v>91</v>
      </c>
      <c r="N155" s="81"/>
      <c r="O155" s="81"/>
    </row>
    <row r="156" spans="2:15" ht="30">
      <c r="B156" s="1" t="s">
        <v>157</v>
      </c>
      <c r="C156" s="61" t="s">
        <v>217</v>
      </c>
      <c r="E156" s="61" t="s">
        <v>91</v>
      </c>
      <c r="N156" s="81"/>
      <c r="O156" s="81"/>
    </row>
    <row r="157" spans="2:15" ht="30">
      <c r="B157" s="1" t="s">
        <v>157</v>
      </c>
      <c r="C157" s="61" t="s">
        <v>218</v>
      </c>
      <c r="E157" s="61" t="s">
        <v>91</v>
      </c>
      <c r="N157" s="81"/>
      <c r="O157" s="81"/>
    </row>
    <row r="158" spans="2:15" ht="30">
      <c r="B158" s="1" t="s">
        <v>157</v>
      </c>
      <c r="C158" s="61" t="s">
        <v>219</v>
      </c>
      <c r="E158" s="61" t="s">
        <v>91</v>
      </c>
      <c r="N158" s="81"/>
      <c r="O158" s="81"/>
    </row>
    <row r="159" spans="2:15">
      <c r="N159" s="81"/>
      <c r="O159" s="81"/>
    </row>
  </sheetData>
  <sortState xmlns:xlrd2="http://schemas.microsoft.com/office/spreadsheetml/2017/richdata2" ref="B5:L48">
    <sortCondition ref="B5:B48"/>
  </sortState>
  <mergeCells count="8">
    <mergeCell ref="C56:G56"/>
    <mergeCell ref="C69:F69"/>
    <mergeCell ref="B95:E95"/>
    <mergeCell ref="B1:Q1"/>
    <mergeCell ref="N3:Q3"/>
    <mergeCell ref="C3:M3"/>
    <mergeCell ref="T3:U3"/>
    <mergeCell ref="R3:S3"/>
  </mergeCells>
  <phoneticPr fontId="23" type="noConversion"/>
  <conditionalFormatting sqref="F49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:L3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L48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:L49 C5:D49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L4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6:L36 F5:F4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L4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49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3622047244094491" right="0.23622047244094491" top="0.35433070866141736" bottom="0.35433070866141736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2A5B-8B3F-4C61-BCA5-A104814BC2EF}">
  <dimension ref="A1:J50"/>
  <sheetViews>
    <sheetView workbookViewId="0">
      <selection sqref="A1:J1"/>
    </sheetView>
  </sheetViews>
  <sheetFormatPr defaultColWidth="9.140625" defaultRowHeight="15"/>
  <cols>
    <col min="1" max="1" width="24.85546875" customWidth="1"/>
    <col min="2" max="2" width="30.7109375" customWidth="1"/>
    <col min="3" max="3" width="13.140625" style="1" customWidth="1"/>
    <col min="4" max="4" width="8.28515625" style="1" customWidth="1"/>
    <col min="5" max="5" width="14.28515625" style="1" customWidth="1"/>
    <col min="6" max="6" width="11" style="1" customWidth="1"/>
    <col min="7" max="7" width="9.140625" style="1"/>
    <col min="8" max="8" width="11.140625" customWidth="1"/>
    <col min="9" max="9" width="11.140625" style="1" customWidth="1"/>
    <col min="10" max="10" width="16.28515625" customWidth="1"/>
  </cols>
  <sheetData>
    <row r="1" spans="1:10">
      <c r="A1" s="142" t="s">
        <v>220</v>
      </c>
      <c r="B1" s="142"/>
      <c r="C1" s="142"/>
      <c r="D1" s="142"/>
      <c r="E1" s="142"/>
      <c r="F1" s="142"/>
      <c r="G1" s="142"/>
      <c r="H1" s="142"/>
      <c r="I1" s="142"/>
      <c r="J1" s="142"/>
    </row>
    <row r="3" spans="1:10" ht="72.75" customHeight="1">
      <c r="A3" s="5" t="s">
        <v>221</v>
      </c>
      <c r="B3" s="5" t="s">
        <v>3</v>
      </c>
      <c r="C3" s="6" t="s">
        <v>4</v>
      </c>
      <c r="D3" s="6" t="s">
        <v>222</v>
      </c>
      <c r="E3" s="6" t="s">
        <v>6</v>
      </c>
      <c r="F3" s="6" t="s">
        <v>7</v>
      </c>
      <c r="G3" s="6" t="s">
        <v>8</v>
      </c>
      <c r="H3" s="5" t="s">
        <v>9</v>
      </c>
      <c r="I3" s="6" t="s">
        <v>10</v>
      </c>
      <c r="J3" s="6" t="s">
        <v>11</v>
      </c>
    </row>
    <row r="4" spans="1:10">
      <c r="A4" s="2" t="s">
        <v>19</v>
      </c>
      <c r="B4" s="2" t="s">
        <v>20</v>
      </c>
      <c r="C4" s="3">
        <v>754</v>
      </c>
      <c r="D4" s="3">
        <v>494</v>
      </c>
      <c r="E4" s="3">
        <v>337</v>
      </c>
      <c r="F4" s="3">
        <v>391</v>
      </c>
      <c r="G4" s="3">
        <v>400</v>
      </c>
      <c r="H4" s="3">
        <v>328</v>
      </c>
      <c r="I4" s="3">
        <v>497</v>
      </c>
      <c r="J4" s="3">
        <v>252</v>
      </c>
    </row>
    <row r="5" spans="1:10">
      <c r="A5" s="2" t="s">
        <v>12</v>
      </c>
      <c r="B5" s="2" t="s">
        <v>13</v>
      </c>
      <c r="C5" s="3">
        <v>582</v>
      </c>
      <c r="D5" s="3">
        <v>315</v>
      </c>
      <c r="E5" s="3">
        <v>248</v>
      </c>
      <c r="F5" s="3">
        <v>262</v>
      </c>
      <c r="G5" s="3">
        <v>377</v>
      </c>
      <c r="H5" s="3">
        <v>292</v>
      </c>
      <c r="I5" s="3">
        <v>374</v>
      </c>
      <c r="J5" s="3">
        <v>243</v>
      </c>
    </row>
    <row r="6" spans="1:10">
      <c r="A6" s="2" t="s">
        <v>21</v>
      </c>
      <c r="B6" s="2" t="s">
        <v>22</v>
      </c>
      <c r="C6" s="3">
        <v>755</v>
      </c>
      <c r="D6" s="3">
        <v>482</v>
      </c>
      <c r="E6" s="3">
        <v>341</v>
      </c>
      <c r="F6" s="3">
        <v>384</v>
      </c>
      <c r="G6" s="3">
        <v>386</v>
      </c>
      <c r="H6" s="3">
        <v>325</v>
      </c>
      <c r="I6" s="3">
        <v>508</v>
      </c>
      <c r="J6" s="3">
        <v>338</v>
      </c>
    </row>
    <row r="7" spans="1:10">
      <c r="A7" s="2" t="s">
        <v>14</v>
      </c>
      <c r="B7" s="2" t="s">
        <v>15</v>
      </c>
      <c r="C7" s="3">
        <v>556</v>
      </c>
      <c r="D7" s="3">
        <v>359</v>
      </c>
      <c r="E7" s="3">
        <v>266</v>
      </c>
      <c r="F7" s="3">
        <v>272</v>
      </c>
      <c r="G7" s="3">
        <v>308</v>
      </c>
      <c r="H7" s="3">
        <v>340</v>
      </c>
      <c r="I7" s="3">
        <v>417</v>
      </c>
      <c r="J7" s="3">
        <v>202</v>
      </c>
    </row>
    <row r="8" spans="1:10">
      <c r="A8" s="2" t="s">
        <v>23</v>
      </c>
      <c r="B8" s="2" t="s">
        <v>92</v>
      </c>
      <c r="C8" s="3">
        <v>1269</v>
      </c>
      <c r="D8" s="3">
        <v>929</v>
      </c>
      <c r="E8" s="3">
        <v>714</v>
      </c>
      <c r="F8" s="3">
        <v>753</v>
      </c>
      <c r="G8" s="3">
        <v>905</v>
      </c>
      <c r="H8" s="3">
        <v>803</v>
      </c>
      <c r="I8" s="3">
        <v>1018</v>
      </c>
      <c r="J8" s="3">
        <v>589</v>
      </c>
    </row>
    <row r="9" spans="1:10">
      <c r="A9" s="2" t="s">
        <v>16</v>
      </c>
      <c r="B9" s="2" t="s">
        <v>17</v>
      </c>
      <c r="C9" s="3">
        <v>778</v>
      </c>
      <c r="D9" s="3">
        <v>518</v>
      </c>
      <c r="E9" s="3">
        <v>425</v>
      </c>
      <c r="F9" s="3">
        <v>445</v>
      </c>
      <c r="G9" s="3">
        <v>505</v>
      </c>
      <c r="H9" s="3">
        <v>416</v>
      </c>
      <c r="I9" s="3">
        <v>544</v>
      </c>
      <c r="J9" s="3">
        <v>333</v>
      </c>
    </row>
    <row r="10" spans="1:10">
      <c r="A10" s="2" t="s">
        <v>27</v>
      </c>
      <c r="B10" s="2" t="s">
        <v>28</v>
      </c>
      <c r="C10" s="3">
        <v>728</v>
      </c>
      <c r="D10" s="3">
        <v>503</v>
      </c>
      <c r="E10" s="3">
        <v>314</v>
      </c>
      <c r="F10" s="3">
        <v>335</v>
      </c>
      <c r="G10" s="3">
        <v>456</v>
      </c>
      <c r="H10" s="3">
        <v>343</v>
      </c>
      <c r="I10" s="3">
        <v>487</v>
      </c>
      <c r="J10" s="3">
        <v>270</v>
      </c>
    </row>
    <row r="11" spans="1:10">
      <c r="A11" s="2" t="s">
        <v>29</v>
      </c>
      <c r="B11" s="2" t="s">
        <v>30</v>
      </c>
      <c r="C11" s="3">
        <v>444</v>
      </c>
      <c r="D11" s="3">
        <v>289</v>
      </c>
      <c r="E11" s="3">
        <v>203</v>
      </c>
      <c r="F11" s="3">
        <v>189</v>
      </c>
      <c r="G11" s="3">
        <v>262</v>
      </c>
      <c r="H11" s="3">
        <v>188</v>
      </c>
      <c r="I11" s="3">
        <v>265</v>
      </c>
      <c r="J11" s="3">
        <v>180</v>
      </c>
    </row>
    <row r="12" spans="1:10">
      <c r="A12" s="2" t="s">
        <v>33</v>
      </c>
      <c r="B12" s="2" t="s">
        <v>34</v>
      </c>
      <c r="C12" s="3">
        <v>652</v>
      </c>
      <c r="D12" s="3">
        <v>411</v>
      </c>
      <c r="E12" s="3">
        <v>302</v>
      </c>
      <c r="F12" s="3">
        <v>349</v>
      </c>
      <c r="G12" s="3">
        <v>374</v>
      </c>
      <c r="H12" s="3">
        <v>252</v>
      </c>
      <c r="I12" s="3">
        <v>449</v>
      </c>
      <c r="J12" s="3">
        <v>270</v>
      </c>
    </row>
    <row r="13" spans="1:10">
      <c r="A13" s="2" t="s">
        <v>39</v>
      </c>
      <c r="B13" s="2" t="s">
        <v>40</v>
      </c>
      <c r="C13" s="3">
        <v>690</v>
      </c>
      <c r="D13" s="3">
        <v>411</v>
      </c>
      <c r="E13" s="3">
        <v>285</v>
      </c>
      <c r="F13" s="3">
        <v>361</v>
      </c>
      <c r="G13" s="3">
        <v>379</v>
      </c>
      <c r="H13" s="3">
        <v>219</v>
      </c>
      <c r="I13" s="3">
        <v>483</v>
      </c>
      <c r="J13" s="3">
        <v>257</v>
      </c>
    </row>
    <row r="14" spans="1:10">
      <c r="A14" s="2" t="s">
        <v>37</v>
      </c>
      <c r="B14" s="2" t="s">
        <v>24</v>
      </c>
      <c r="C14" s="3">
        <v>879</v>
      </c>
      <c r="D14" s="3">
        <v>600</v>
      </c>
      <c r="E14" s="3">
        <v>417</v>
      </c>
      <c r="F14" s="3">
        <v>446</v>
      </c>
      <c r="G14" s="3">
        <v>555</v>
      </c>
      <c r="H14" s="3">
        <v>467</v>
      </c>
      <c r="I14" s="3">
        <v>675</v>
      </c>
      <c r="J14" s="3">
        <v>385</v>
      </c>
    </row>
    <row r="15" spans="1:10">
      <c r="A15" s="2" t="s">
        <v>25</v>
      </c>
      <c r="B15" s="2" t="s">
        <v>26</v>
      </c>
      <c r="C15" s="3">
        <v>863</v>
      </c>
      <c r="D15" s="3">
        <v>613</v>
      </c>
      <c r="E15" s="3">
        <v>472</v>
      </c>
      <c r="F15" s="3">
        <v>486</v>
      </c>
      <c r="G15" s="3">
        <v>572</v>
      </c>
      <c r="H15" s="3">
        <v>468</v>
      </c>
      <c r="I15" s="3">
        <v>542</v>
      </c>
      <c r="J15" s="3">
        <v>423</v>
      </c>
    </row>
    <row r="16" spans="1:10">
      <c r="A16" s="2" t="s">
        <v>31</v>
      </c>
      <c r="B16" s="2" t="s">
        <v>32</v>
      </c>
      <c r="C16" s="3">
        <v>728</v>
      </c>
      <c r="D16" s="3">
        <v>457</v>
      </c>
      <c r="E16" s="3">
        <v>254</v>
      </c>
      <c r="F16" s="3">
        <v>330</v>
      </c>
      <c r="G16" s="3">
        <v>362</v>
      </c>
      <c r="H16" s="3">
        <v>292</v>
      </c>
      <c r="I16" s="3">
        <v>500</v>
      </c>
      <c r="J16" s="3">
        <v>294</v>
      </c>
    </row>
    <row r="17" spans="1:10">
      <c r="A17" s="2" t="s">
        <v>35</v>
      </c>
      <c r="B17" s="2" t="s">
        <v>36</v>
      </c>
      <c r="C17" s="3">
        <v>662</v>
      </c>
      <c r="D17" s="3">
        <v>402</v>
      </c>
      <c r="E17" s="3">
        <v>304</v>
      </c>
      <c r="F17" s="3">
        <v>337</v>
      </c>
      <c r="G17" s="3">
        <v>340</v>
      </c>
      <c r="H17" s="3">
        <v>286</v>
      </c>
      <c r="I17" s="3">
        <v>451</v>
      </c>
      <c r="J17" s="3">
        <v>222</v>
      </c>
    </row>
    <row r="18" spans="1:10">
      <c r="A18" s="2" t="s">
        <v>51</v>
      </c>
      <c r="B18" s="2" t="s">
        <v>52</v>
      </c>
      <c r="C18" s="3">
        <v>1073</v>
      </c>
      <c r="D18" s="3">
        <v>768</v>
      </c>
      <c r="E18" s="3">
        <v>709</v>
      </c>
      <c r="F18" s="3">
        <v>728</v>
      </c>
      <c r="G18" s="3">
        <v>815</v>
      </c>
      <c r="H18" s="3">
        <v>659</v>
      </c>
      <c r="I18" s="3">
        <v>792</v>
      </c>
      <c r="J18" s="3">
        <v>585</v>
      </c>
    </row>
    <row r="19" spans="1:10">
      <c r="A19" s="2" t="s">
        <v>41</v>
      </c>
      <c r="B19" s="2" t="s">
        <v>42</v>
      </c>
      <c r="C19" s="3">
        <v>711</v>
      </c>
      <c r="D19" s="3">
        <v>521</v>
      </c>
      <c r="E19" s="3">
        <v>348</v>
      </c>
      <c r="F19" s="3">
        <v>414</v>
      </c>
      <c r="G19" s="3">
        <v>476</v>
      </c>
      <c r="H19" s="3">
        <v>278</v>
      </c>
      <c r="I19" s="3">
        <v>452</v>
      </c>
      <c r="J19" s="3">
        <v>287</v>
      </c>
    </row>
    <row r="20" spans="1:10">
      <c r="A20" s="2" t="s">
        <v>43</v>
      </c>
      <c r="B20" s="2" t="s">
        <v>44</v>
      </c>
      <c r="C20" s="3">
        <v>908</v>
      </c>
      <c r="D20" s="3">
        <v>709</v>
      </c>
      <c r="E20" s="3">
        <v>479</v>
      </c>
      <c r="F20" s="3">
        <v>511</v>
      </c>
      <c r="G20" s="3">
        <v>560</v>
      </c>
      <c r="H20" s="3">
        <v>426</v>
      </c>
      <c r="I20" s="3">
        <v>594</v>
      </c>
      <c r="J20" s="3">
        <v>361</v>
      </c>
    </row>
    <row r="21" spans="1:10">
      <c r="A21" s="2" t="s">
        <v>49</v>
      </c>
      <c r="B21" s="2" t="s">
        <v>50</v>
      </c>
      <c r="C21" s="3">
        <v>1044</v>
      </c>
      <c r="D21" s="3">
        <v>849</v>
      </c>
      <c r="E21" s="3">
        <v>705</v>
      </c>
      <c r="F21" s="3">
        <v>687</v>
      </c>
      <c r="G21" s="3">
        <v>851</v>
      </c>
      <c r="H21" s="3">
        <v>696</v>
      </c>
      <c r="I21" s="3">
        <v>800</v>
      </c>
      <c r="J21" s="3">
        <v>678</v>
      </c>
    </row>
    <row r="22" spans="1:10">
      <c r="A22" s="2" t="s">
        <v>47</v>
      </c>
      <c r="B22" s="2" t="s">
        <v>48</v>
      </c>
      <c r="C22" s="3">
        <v>681</v>
      </c>
      <c r="D22" s="3">
        <v>501</v>
      </c>
      <c r="E22" s="3">
        <v>397</v>
      </c>
      <c r="F22" s="3">
        <v>416</v>
      </c>
      <c r="G22" s="3">
        <v>430</v>
      </c>
      <c r="H22" s="3">
        <v>346</v>
      </c>
      <c r="I22" s="3">
        <v>444</v>
      </c>
      <c r="J22" s="3">
        <v>302</v>
      </c>
    </row>
    <row r="23" spans="1:10">
      <c r="A23" s="2" t="s">
        <v>45</v>
      </c>
      <c r="B23" s="2" t="s">
        <v>46</v>
      </c>
      <c r="C23" s="3">
        <v>745</v>
      </c>
      <c r="D23" s="3">
        <v>487</v>
      </c>
      <c r="E23" s="3">
        <v>358</v>
      </c>
      <c r="F23" s="3">
        <v>370</v>
      </c>
      <c r="G23" s="3">
        <v>495</v>
      </c>
      <c r="H23" s="3">
        <v>352</v>
      </c>
      <c r="I23" s="3">
        <v>516</v>
      </c>
      <c r="J23" s="3">
        <v>285</v>
      </c>
    </row>
    <row r="24" spans="1:10">
      <c r="A24" s="2" t="s">
        <v>63</v>
      </c>
      <c r="B24" s="2" t="s">
        <v>64</v>
      </c>
      <c r="C24" s="3">
        <v>784</v>
      </c>
      <c r="D24" s="3">
        <v>597</v>
      </c>
      <c r="E24" s="3">
        <v>479</v>
      </c>
      <c r="F24" s="3">
        <v>478</v>
      </c>
      <c r="G24" s="3">
        <v>585</v>
      </c>
      <c r="H24" s="3">
        <v>476</v>
      </c>
      <c r="I24" s="3">
        <v>593</v>
      </c>
      <c r="J24" s="3">
        <v>401</v>
      </c>
    </row>
    <row r="25" spans="1:10">
      <c r="A25" s="2" t="s">
        <v>53</v>
      </c>
      <c r="B25" s="2" t="s">
        <v>54</v>
      </c>
      <c r="C25" s="3">
        <v>782</v>
      </c>
      <c r="D25" s="3">
        <v>603</v>
      </c>
      <c r="E25" s="3">
        <v>413</v>
      </c>
      <c r="F25" s="3">
        <v>426</v>
      </c>
      <c r="G25" s="3">
        <v>570</v>
      </c>
      <c r="H25" s="3">
        <v>386</v>
      </c>
      <c r="I25" s="3">
        <v>533</v>
      </c>
      <c r="J25" s="3">
        <v>349</v>
      </c>
    </row>
    <row r="26" spans="1:10">
      <c r="A26" s="2" t="s">
        <v>65</v>
      </c>
      <c r="B26" s="2" t="s">
        <v>66</v>
      </c>
      <c r="C26" s="3">
        <v>807</v>
      </c>
      <c r="D26" s="3">
        <v>640</v>
      </c>
      <c r="E26" s="3">
        <v>546</v>
      </c>
      <c r="F26" s="3">
        <v>559</v>
      </c>
      <c r="G26" s="3">
        <v>603</v>
      </c>
      <c r="H26" s="3">
        <v>490</v>
      </c>
      <c r="I26" s="3">
        <v>593</v>
      </c>
      <c r="J26" s="3">
        <v>467</v>
      </c>
    </row>
    <row r="27" spans="1:10">
      <c r="A27" s="2" t="s">
        <v>57</v>
      </c>
      <c r="B27" s="2" t="s">
        <v>58</v>
      </c>
      <c r="C27" s="3">
        <v>859</v>
      </c>
      <c r="D27" s="3">
        <v>598</v>
      </c>
      <c r="E27" s="3">
        <v>435</v>
      </c>
      <c r="F27" s="3">
        <v>454</v>
      </c>
      <c r="G27" s="3">
        <v>520</v>
      </c>
      <c r="H27" s="3">
        <v>372</v>
      </c>
      <c r="I27" s="3">
        <v>584</v>
      </c>
      <c r="J27" s="3">
        <v>333</v>
      </c>
    </row>
    <row r="28" spans="1:10">
      <c r="A28" s="2" t="s">
        <v>59</v>
      </c>
      <c r="B28" s="2" t="s">
        <v>60</v>
      </c>
      <c r="C28" s="3">
        <v>920</v>
      </c>
      <c r="D28" s="3">
        <v>670</v>
      </c>
      <c r="E28" s="3">
        <v>460</v>
      </c>
      <c r="F28" s="3">
        <v>477</v>
      </c>
      <c r="G28" s="3">
        <v>604</v>
      </c>
      <c r="H28" s="3">
        <v>471</v>
      </c>
      <c r="I28" s="3">
        <v>718</v>
      </c>
      <c r="J28" s="3">
        <v>442</v>
      </c>
    </row>
    <row r="29" spans="1:10">
      <c r="A29" s="2" t="s">
        <v>61</v>
      </c>
      <c r="B29" s="2" t="s">
        <v>62</v>
      </c>
      <c r="C29" s="3">
        <v>968</v>
      </c>
      <c r="D29" s="3">
        <v>663</v>
      </c>
      <c r="E29" s="3">
        <v>513</v>
      </c>
      <c r="F29" s="3">
        <v>562</v>
      </c>
      <c r="G29" s="3">
        <v>637</v>
      </c>
      <c r="H29" s="3">
        <v>471</v>
      </c>
      <c r="I29" s="3">
        <v>600</v>
      </c>
      <c r="J29" s="3">
        <v>402</v>
      </c>
    </row>
    <row r="30" spans="1:10">
      <c r="A30" s="2" t="s">
        <v>55</v>
      </c>
      <c r="B30" s="2" t="s">
        <v>56</v>
      </c>
      <c r="C30" s="3">
        <v>1066</v>
      </c>
      <c r="D30" s="3">
        <v>706</v>
      </c>
      <c r="E30" s="3">
        <v>422</v>
      </c>
      <c r="F30" s="3">
        <v>504</v>
      </c>
      <c r="G30" s="3">
        <v>641</v>
      </c>
      <c r="H30" s="3">
        <v>479</v>
      </c>
      <c r="I30" s="3">
        <v>708</v>
      </c>
      <c r="J30" s="3">
        <v>336</v>
      </c>
    </row>
    <row r="31" spans="1:10">
      <c r="A31" s="2" t="s">
        <v>73</v>
      </c>
      <c r="B31" s="2" t="s">
        <v>74</v>
      </c>
      <c r="C31" s="3">
        <v>1505</v>
      </c>
      <c r="D31" s="3">
        <v>1282</v>
      </c>
      <c r="E31" s="3">
        <v>874</v>
      </c>
      <c r="F31" s="3">
        <v>911</v>
      </c>
      <c r="G31" s="3">
        <v>1148</v>
      </c>
      <c r="H31" s="3">
        <v>708</v>
      </c>
      <c r="I31" s="3">
        <v>1006</v>
      </c>
      <c r="J31" s="3">
        <v>646</v>
      </c>
    </row>
    <row r="32" spans="1:10">
      <c r="A32" s="2" t="s">
        <v>77</v>
      </c>
      <c r="B32" s="2" t="s">
        <v>78</v>
      </c>
      <c r="C32" s="3">
        <v>645</v>
      </c>
      <c r="D32" s="3">
        <v>541</v>
      </c>
      <c r="E32" s="3">
        <v>352</v>
      </c>
      <c r="F32" s="3">
        <v>354</v>
      </c>
      <c r="G32" s="3">
        <v>474</v>
      </c>
      <c r="H32" s="3">
        <v>294</v>
      </c>
      <c r="I32" s="3">
        <v>424</v>
      </c>
      <c r="J32" s="3">
        <v>306</v>
      </c>
    </row>
    <row r="33" spans="1:10">
      <c r="A33" s="2" t="s">
        <v>71</v>
      </c>
      <c r="B33" s="2" t="s">
        <v>72</v>
      </c>
      <c r="C33" s="3">
        <v>1231</v>
      </c>
      <c r="D33" s="3">
        <v>987</v>
      </c>
      <c r="E33" s="3">
        <v>659</v>
      </c>
      <c r="F33" s="3">
        <v>665</v>
      </c>
      <c r="G33" s="3">
        <v>884</v>
      </c>
      <c r="H33" s="3">
        <v>692</v>
      </c>
      <c r="I33" s="3">
        <v>905</v>
      </c>
      <c r="J33" s="3">
        <v>508</v>
      </c>
    </row>
    <row r="34" spans="1:10">
      <c r="A34" s="2" t="s">
        <v>69</v>
      </c>
      <c r="B34" s="2" t="s">
        <v>70</v>
      </c>
      <c r="C34" s="3">
        <v>963</v>
      </c>
      <c r="D34" s="3">
        <v>792</v>
      </c>
      <c r="E34" s="3">
        <v>499</v>
      </c>
      <c r="F34" s="3">
        <v>569</v>
      </c>
      <c r="G34" s="3">
        <v>689</v>
      </c>
      <c r="H34" s="3">
        <v>523</v>
      </c>
      <c r="I34" s="3">
        <v>774</v>
      </c>
      <c r="J34" s="3">
        <v>456</v>
      </c>
    </row>
    <row r="35" spans="1:10">
      <c r="A35" s="2" t="s">
        <v>75</v>
      </c>
      <c r="B35" s="2" t="s">
        <v>76</v>
      </c>
      <c r="C35" s="3">
        <v>922</v>
      </c>
      <c r="D35" s="3">
        <v>791</v>
      </c>
      <c r="E35" s="3">
        <v>478</v>
      </c>
      <c r="F35" s="3">
        <v>445</v>
      </c>
      <c r="G35" s="3">
        <v>679</v>
      </c>
      <c r="H35" s="3">
        <v>467</v>
      </c>
      <c r="I35" s="3">
        <v>694</v>
      </c>
      <c r="J35" s="3">
        <v>370</v>
      </c>
    </row>
    <row r="36" spans="1:10">
      <c r="A36" s="2" t="s">
        <v>67</v>
      </c>
      <c r="B36" s="2" t="s">
        <v>68</v>
      </c>
      <c r="C36" s="3">
        <v>692</v>
      </c>
      <c r="D36" s="3">
        <v>601</v>
      </c>
      <c r="E36" s="3">
        <v>437</v>
      </c>
      <c r="F36" s="3">
        <v>413</v>
      </c>
      <c r="G36" s="3">
        <v>483</v>
      </c>
      <c r="H36" s="3">
        <v>434</v>
      </c>
      <c r="I36" s="3">
        <v>464</v>
      </c>
      <c r="J36" s="3">
        <v>246</v>
      </c>
    </row>
    <row r="37" spans="1:10">
      <c r="A37" s="2" t="s">
        <v>85</v>
      </c>
      <c r="B37" s="2" t="s">
        <v>86</v>
      </c>
      <c r="C37" s="3">
        <v>798</v>
      </c>
      <c r="D37" s="3">
        <v>598</v>
      </c>
      <c r="E37" s="3">
        <v>350</v>
      </c>
      <c r="F37" s="3">
        <v>367</v>
      </c>
      <c r="G37" s="3">
        <v>410</v>
      </c>
      <c r="H37" s="3">
        <v>181</v>
      </c>
      <c r="I37" s="3">
        <v>316</v>
      </c>
      <c r="J37" s="3">
        <v>210</v>
      </c>
    </row>
    <row r="38" spans="1:10">
      <c r="A38" s="2" t="s">
        <v>79</v>
      </c>
      <c r="B38" s="2" t="s">
        <v>80</v>
      </c>
      <c r="C38" s="3">
        <v>540</v>
      </c>
      <c r="D38" s="3">
        <v>392</v>
      </c>
      <c r="E38" s="3">
        <v>287</v>
      </c>
      <c r="F38" s="3">
        <v>259</v>
      </c>
      <c r="G38" s="3">
        <v>371</v>
      </c>
      <c r="H38" s="3">
        <v>287</v>
      </c>
      <c r="I38" s="3">
        <v>409</v>
      </c>
      <c r="J38" s="3">
        <v>212</v>
      </c>
    </row>
    <row r="39" spans="1:10">
      <c r="A39" s="2" t="s">
        <v>81</v>
      </c>
      <c r="B39" s="2" t="s">
        <v>82</v>
      </c>
      <c r="C39" s="3">
        <v>848</v>
      </c>
      <c r="D39" s="3">
        <v>693</v>
      </c>
      <c r="E39" s="3">
        <v>521</v>
      </c>
      <c r="F39" s="3">
        <v>501</v>
      </c>
      <c r="G39" s="3">
        <v>640</v>
      </c>
      <c r="H39" s="3">
        <v>443</v>
      </c>
      <c r="I39" s="3">
        <v>610</v>
      </c>
      <c r="J39" s="3">
        <v>337</v>
      </c>
    </row>
    <row r="40" spans="1:10">
      <c r="A40" s="2" t="s">
        <v>83</v>
      </c>
      <c r="B40" s="2" t="s">
        <v>84</v>
      </c>
      <c r="C40" s="3">
        <v>565</v>
      </c>
      <c r="D40" s="3">
        <v>435</v>
      </c>
      <c r="E40" s="3">
        <v>310</v>
      </c>
      <c r="F40" s="3">
        <v>286</v>
      </c>
      <c r="G40" s="3">
        <v>437</v>
      </c>
      <c r="H40" s="3">
        <v>334</v>
      </c>
      <c r="I40" s="3">
        <v>470</v>
      </c>
      <c r="J40" s="3">
        <v>235</v>
      </c>
    </row>
    <row r="41" spans="1:10">
      <c r="A41" s="2" t="s">
        <v>89</v>
      </c>
      <c r="B41" s="2" t="s">
        <v>223</v>
      </c>
      <c r="C41" s="3">
        <v>693</v>
      </c>
      <c r="D41" s="3">
        <v>578</v>
      </c>
      <c r="E41" s="3">
        <v>416</v>
      </c>
      <c r="F41" s="3">
        <v>424</v>
      </c>
      <c r="G41" s="3">
        <v>521</v>
      </c>
      <c r="H41" s="3">
        <v>370</v>
      </c>
      <c r="I41" s="3">
        <v>498</v>
      </c>
      <c r="J41" s="3">
        <v>337</v>
      </c>
    </row>
    <row r="42" spans="1:10">
      <c r="A42" s="2" t="s">
        <v>87</v>
      </c>
      <c r="B42" s="2" t="s">
        <v>88</v>
      </c>
      <c r="C42" s="3">
        <v>561</v>
      </c>
      <c r="D42" s="3">
        <v>435</v>
      </c>
      <c r="E42" s="3">
        <v>214</v>
      </c>
      <c r="F42" s="3">
        <v>218</v>
      </c>
      <c r="G42" s="3">
        <v>296</v>
      </c>
      <c r="H42" s="3">
        <v>203</v>
      </c>
      <c r="I42" s="3">
        <v>269</v>
      </c>
      <c r="J42" s="3">
        <v>223</v>
      </c>
    </row>
    <row r="43" spans="1:10" hidden="1">
      <c r="A43" s="140" t="s">
        <v>224</v>
      </c>
      <c r="B43" s="141"/>
      <c r="C43" s="21">
        <f t="shared" ref="C43:J43" si="0">SUM(C37:C42)</f>
        <v>4005</v>
      </c>
      <c r="D43" s="21">
        <f t="shared" si="0"/>
        <v>3131</v>
      </c>
      <c r="E43" s="21">
        <f t="shared" si="0"/>
        <v>2098</v>
      </c>
      <c r="F43" s="21">
        <f t="shared" si="0"/>
        <v>2055</v>
      </c>
      <c r="G43" s="21">
        <f t="shared" si="0"/>
        <v>2675</v>
      </c>
      <c r="H43" s="21">
        <f t="shared" si="0"/>
        <v>1818</v>
      </c>
      <c r="I43" s="21">
        <f t="shared" si="0"/>
        <v>2572</v>
      </c>
      <c r="J43" s="21">
        <f t="shared" si="0"/>
        <v>1554</v>
      </c>
    </row>
    <row r="44" spans="1:10">
      <c r="A44" s="2" t="s">
        <v>93</v>
      </c>
      <c r="B44" s="2" t="s">
        <v>94</v>
      </c>
      <c r="C44" s="3">
        <v>724</v>
      </c>
      <c r="D44" s="3">
        <v>610</v>
      </c>
      <c r="E44" s="3">
        <v>427</v>
      </c>
      <c r="F44" s="3">
        <v>483</v>
      </c>
      <c r="G44" s="3">
        <v>492</v>
      </c>
      <c r="H44" s="3">
        <v>344</v>
      </c>
      <c r="I44" s="3">
        <v>507</v>
      </c>
      <c r="J44" s="3">
        <v>284</v>
      </c>
    </row>
    <row r="45" spans="1:10">
      <c r="A45" s="2" t="s">
        <v>97</v>
      </c>
      <c r="B45" s="2" t="s">
        <v>98</v>
      </c>
      <c r="C45" s="3">
        <v>771</v>
      </c>
      <c r="D45" s="3">
        <v>614</v>
      </c>
      <c r="E45" s="3">
        <v>446</v>
      </c>
      <c r="F45" s="3">
        <v>419</v>
      </c>
      <c r="G45" s="3">
        <v>476</v>
      </c>
      <c r="H45" s="3">
        <v>355</v>
      </c>
      <c r="I45" s="3">
        <v>506</v>
      </c>
      <c r="J45" s="3">
        <v>348</v>
      </c>
    </row>
    <row r="46" spans="1:10">
      <c r="A46" s="2" t="s">
        <v>95</v>
      </c>
      <c r="B46" s="2" t="s">
        <v>96</v>
      </c>
      <c r="C46" s="3">
        <v>780</v>
      </c>
      <c r="D46" s="3">
        <v>570</v>
      </c>
      <c r="E46" s="3">
        <v>394</v>
      </c>
      <c r="F46" s="3">
        <v>382</v>
      </c>
      <c r="G46" s="3">
        <v>489</v>
      </c>
      <c r="H46" s="3">
        <v>343</v>
      </c>
      <c r="I46" s="3">
        <v>585</v>
      </c>
      <c r="J46" s="3">
        <v>323</v>
      </c>
    </row>
    <row r="47" spans="1:10">
      <c r="A47" s="2" t="s">
        <v>91</v>
      </c>
      <c r="B47" s="2" t="s">
        <v>90</v>
      </c>
      <c r="C47" s="3">
        <v>593</v>
      </c>
      <c r="D47" s="3">
        <v>499</v>
      </c>
      <c r="E47" s="3">
        <v>244</v>
      </c>
      <c r="F47" s="3">
        <v>240</v>
      </c>
      <c r="G47" s="3">
        <v>313</v>
      </c>
      <c r="H47" s="3">
        <v>169</v>
      </c>
      <c r="I47" s="3">
        <v>399</v>
      </c>
      <c r="J47" s="3">
        <v>152</v>
      </c>
    </row>
    <row r="48" spans="1:10" ht="15.75">
      <c r="A48" s="140" t="s">
        <v>122</v>
      </c>
      <c r="B48" s="141"/>
      <c r="C48" s="4">
        <f t="shared" ref="C48:J48" si="1">SUM(C4:C47)</f>
        <v>38524</v>
      </c>
      <c r="D48" s="4">
        <f t="shared" si="1"/>
        <v>28644</v>
      </c>
      <c r="E48" s="4">
        <f t="shared" si="1"/>
        <v>20152</v>
      </c>
      <c r="F48" s="4">
        <f t="shared" si="1"/>
        <v>20917</v>
      </c>
      <c r="G48" s="4">
        <f t="shared" si="1"/>
        <v>25445</v>
      </c>
      <c r="H48" s="4">
        <f t="shared" si="1"/>
        <v>18886</v>
      </c>
      <c r="I48" s="4">
        <f t="shared" si="1"/>
        <v>26545</v>
      </c>
      <c r="J48" s="4">
        <f t="shared" si="1"/>
        <v>16233</v>
      </c>
    </row>
    <row r="50" spans="3:3">
      <c r="C50" s="20"/>
    </row>
  </sheetData>
  <mergeCells count="3">
    <mergeCell ref="A43:B43"/>
    <mergeCell ref="A48:B48"/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zoomScaleNormal="100" workbookViewId="0">
      <selection activeCell="E13" sqref="E13"/>
    </sheetView>
  </sheetViews>
  <sheetFormatPr defaultColWidth="9.140625" defaultRowHeight="12.75"/>
  <cols>
    <col min="1" max="1" width="22.42578125" style="11" customWidth="1"/>
    <col min="2" max="2" width="26.42578125" style="11" customWidth="1"/>
    <col min="3" max="3" width="11.85546875" style="16" customWidth="1"/>
    <col min="4" max="4" width="14" style="16" customWidth="1"/>
    <col min="5" max="5" width="15.7109375" style="16" customWidth="1"/>
    <col min="6" max="7" width="11.85546875" style="16" customWidth="1"/>
    <col min="8" max="8" width="12.85546875" style="11" customWidth="1"/>
    <col min="9" max="9" width="12.42578125" style="16" customWidth="1"/>
    <col min="10" max="10" width="13.28515625" style="11" customWidth="1"/>
    <col min="11" max="11" width="11.85546875" style="11" customWidth="1"/>
    <col min="12" max="12" width="13" style="11" customWidth="1"/>
    <col min="13" max="16382" width="9.140625" style="11"/>
    <col min="16383" max="16383" width="9.140625" style="11" bestFit="1"/>
    <col min="16384" max="16384" width="9.140625" style="11"/>
  </cols>
  <sheetData>
    <row r="1" spans="1:14">
      <c r="A1" s="143" t="s">
        <v>220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4" ht="9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4" ht="61.5" customHeight="1">
      <c r="A3" s="7" t="s">
        <v>2</v>
      </c>
      <c r="B3" s="7" t="s">
        <v>225</v>
      </c>
      <c r="C3" s="8" t="s">
        <v>226</v>
      </c>
      <c r="D3" s="8" t="s">
        <v>227</v>
      </c>
      <c r="E3" s="8" t="s">
        <v>6</v>
      </c>
      <c r="F3" s="8" t="s">
        <v>7</v>
      </c>
      <c r="G3" s="8" t="s">
        <v>8</v>
      </c>
      <c r="H3" s="8" t="s">
        <v>228</v>
      </c>
      <c r="I3" s="8" t="s">
        <v>229</v>
      </c>
      <c r="J3" s="8" t="s">
        <v>230</v>
      </c>
      <c r="K3" s="9" t="s">
        <v>231</v>
      </c>
      <c r="L3" s="9" t="s">
        <v>232</v>
      </c>
    </row>
    <row r="4" spans="1:14">
      <c r="A4" s="12" t="s">
        <v>63</v>
      </c>
      <c r="B4" s="12" t="s">
        <v>233</v>
      </c>
      <c r="C4" s="13">
        <v>805</v>
      </c>
      <c r="D4" s="13">
        <v>652</v>
      </c>
      <c r="E4" s="13">
        <v>511</v>
      </c>
      <c r="F4" s="13">
        <v>513</v>
      </c>
      <c r="G4" s="13">
        <v>620</v>
      </c>
      <c r="H4" s="13">
        <v>512</v>
      </c>
      <c r="I4" s="13">
        <v>625</v>
      </c>
      <c r="J4" s="13">
        <v>443</v>
      </c>
      <c r="K4" s="13">
        <v>338</v>
      </c>
      <c r="L4" s="13">
        <v>12</v>
      </c>
    </row>
    <row r="5" spans="1:14">
      <c r="A5" s="12" t="s">
        <v>73</v>
      </c>
      <c r="B5" s="12" t="s">
        <v>234</v>
      </c>
      <c r="C5" s="13">
        <v>1467</v>
      </c>
      <c r="D5" s="13">
        <v>1243</v>
      </c>
      <c r="E5" s="13">
        <v>881</v>
      </c>
      <c r="F5" s="13">
        <v>922</v>
      </c>
      <c r="G5" s="13">
        <v>1155</v>
      </c>
      <c r="H5" s="13">
        <v>726</v>
      </c>
      <c r="I5" s="13">
        <v>1013</v>
      </c>
      <c r="J5" s="13">
        <v>671</v>
      </c>
      <c r="K5" s="13">
        <v>373</v>
      </c>
      <c r="L5" s="13">
        <v>38</v>
      </c>
    </row>
    <row r="6" spans="1:14">
      <c r="A6" s="12" t="s">
        <v>77</v>
      </c>
      <c r="B6" s="12" t="s">
        <v>235</v>
      </c>
      <c r="C6" s="13">
        <v>622</v>
      </c>
      <c r="D6" s="13">
        <v>519</v>
      </c>
      <c r="E6" s="13">
        <v>382</v>
      </c>
      <c r="F6" s="13">
        <v>396</v>
      </c>
      <c r="G6" s="13">
        <v>523</v>
      </c>
      <c r="H6" s="13">
        <v>342</v>
      </c>
      <c r="I6" s="13">
        <v>475</v>
      </c>
      <c r="J6" s="13">
        <v>343</v>
      </c>
      <c r="K6" s="13">
        <v>199</v>
      </c>
      <c r="L6" s="13">
        <v>15</v>
      </c>
    </row>
    <row r="7" spans="1:14">
      <c r="A7" s="12" t="s">
        <v>19</v>
      </c>
      <c r="B7" s="12" t="s">
        <v>236</v>
      </c>
      <c r="C7" s="13">
        <v>748</v>
      </c>
      <c r="D7" s="13">
        <v>490</v>
      </c>
      <c r="E7" s="13">
        <v>341</v>
      </c>
      <c r="F7" s="13">
        <v>399</v>
      </c>
      <c r="G7" s="13">
        <v>403</v>
      </c>
      <c r="H7" s="13">
        <v>332</v>
      </c>
      <c r="I7" s="13">
        <v>501</v>
      </c>
      <c r="J7" s="13">
        <v>258</v>
      </c>
      <c r="K7" s="13">
        <v>110</v>
      </c>
      <c r="L7" s="13">
        <v>10</v>
      </c>
    </row>
    <row r="8" spans="1:14">
      <c r="A8" s="12" t="s">
        <v>12</v>
      </c>
      <c r="B8" s="12" t="s">
        <v>13</v>
      </c>
      <c r="C8" s="13">
        <v>579</v>
      </c>
      <c r="D8" s="13">
        <v>315</v>
      </c>
      <c r="E8" s="13">
        <v>279</v>
      </c>
      <c r="F8" s="13">
        <v>297</v>
      </c>
      <c r="G8" s="13">
        <v>400</v>
      </c>
      <c r="H8" s="13">
        <v>334</v>
      </c>
      <c r="I8" s="13">
        <v>427</v>
      </c>
      <c r="J8" s="13">
        <v>274</v>
      </c>
      <c r="K8" s="13">
        <v>159</v>
      </c>
      <c r="L8" s="13">
        <v>14</v>
      </c>
      <c r="N8" s="14"/>
    </row>
    <row r="9" spans="1:14">
      <c r="A9" s="12" t="s">
        <v>51</v>
      </c>
      <c r="B9" s="12" t="s">
        <v>237</v>
      </c>
      <c r="C9" s="13">
        <v>1044</v>
      </c>
      <c r="D9" s="13">
        <v>756</v>
      </c>
      <c r="E9" s="13">
        <v>716</v>
      </c>
      <c r="F9" s="13">
        <v>733</v>
      </c>
      <c r="G9" s="13">
        <v>821</v>
      </c>
      <c r="H9" s="13">
        <v>672</v>
      </c>
      <c r="I9" s="13">
        <v>801</v>
      </c>
      <c r="J9" s="13">
        <v>606</v>
      </c>
      <c r="K9" s="13">
        <v>505</v>
      </c>
      <c r="L9" s="13">
        <v>77</v>
      </c>
    </row>
    <row r="10" spans="1:14">
      <c r="A10" s="12" t="s">
        <v>41</v>
      </c>
      <c r="B10" s="12" t="s">
        <v>238</v>
      </c>
      <c r="C10" s="13">
        <v>756</v>
      </c>
      <c r="D10" s="13">
        <v>569</v>
      </c>
      <c r="E10" s="13">
        <v>386</v>
      </c>
      <c r="F10" s="13">
        <v>472</v>
      </c>
      <c r="G10" s="13">
        <v>532</v>
      </c>
      <c r="H10" s="13">
        <v>326</v>
      </c>
      <c r="I10" s="13">
        <v>509</v>
      </c>
      <c r="J10" s="13">
        <v>336</v>
      </c>
      <c r="K10" s="13">
        <v>161</v>
      </c>
      <c r="L10" s="13">
        <v>17</v>
      </c>
    </row>
    <row r="11" spans="1:14">
      <c r="A11" s="12" t="s">
        <v>93</v>
      </c>
      <c r="B11" s="12" t="s">
        <v>239</v>
      </c>
      <c r="C11" s="13">
        <v>692</v>
      </c>
      <c r="D11" s="13">
        <v>578</v>
      </c>
      <c r="E11" s="13">
        <v>430</v>
      </c>
      <c r="F11" s="13">
        <v>485</v>
      </c>
      <c r="G11" s="13">
        <v>496</v>
      </c>
      <c r="H11" s="13">
        <v>347</v>
      </c>
      <c r="I11" s="13">
        <v>510</v>
      </c>
      <c r="J11" s="13">
        <v>305</v>
      </c>
      <c r="K11" s="13">
        <v>142</v>
      </c>
      <c r="L11" s="13">
        <v>19</v>
      </c>
    </row>
    <row r="12" spans="1:14">
      <c r="A12" s="12" t="s">
        <v>85</v>
      </c>
      <c r="B12" s="12" t="s">
        <v>86</v>
      </c>
      <c r="C12" s="13">
        <v>773</v>
      </c>
      <c r="D12" s="13">
        <v>573</v>
      </c>
      <c r="E12" s="13">
        <v>358</v>
      </c>
      <c r="F12" s="13">
        <v>378</v>
      </c>
      <c r="G12" s="13">
        <v>413</v>
      </c>
      <c r="H12" s="13">
        <v>183</v>
      </c>
      <c r="I12" s="13">
        <v>316</v>
      </c>
      <c r="J12" s="13">
        <v>222</v>
      </c>
      <c r="K12" s="13">
        <v>66</v>
      </c>
      <c r="L12" s="13">
        <v>9</v>
      </c>
    </row>
    <row r="13" spans="1:14">
      <c r="A13" s="12" t="s">
        <v>79</v>
      </c>
      <c r="B13" s="12" t="s">
        <v>240</v>
      </c>
      <c r="C13" s="13">
        <v>528</v>
      </c>
      <c r="D13" s="13">
        <v>377</v>
      </c>
      <c r="E13" s="13">
        <v>294</v>
      </c>
      <c r="F13" s="13">
        <v>268</v>
      </c>
      <c r="G13" s="13">
        <v>378</v>
      </c>
      <c r="H13" s="13">
        <v>293</v>
      </c>
      <c r="I13" s="13">
        <v>416</v>
      </c>
      <c r="J13" s="13">
        <v>219</v>
      </c>
      <c r="K13" s="13">
        <v>126</v>
      </c>
      <c r="L13" s="13">
        <v>20</v>
      </c>
    </row>
    <row r="14" spans="1:14">
      <c r="A14" s="12" t="s">
        <v>81</v>
      </c>
      <c r="B14" s="12" t="s">
        <v>82</v>
      </c>
      <c r="C14" s="13">
        <v>827</v>
      </c>
      <c r="D14" s="13">
        <v>672</v>
      </c>
      <c r="E14" s="13">
        <v>528</v>
      </c>
      <c r="F14" s="13">
        <v>509</v>
      </c>
      <c r="G14" s="13">
        <v>650</v>
      </c>
      <c r="H14" s="13">
        <v>451</v>
      </c>
      <c r="I14" s="13">
        <v>616</v>
      </c>
      <c r="J14" s="13">
        <v>350</v>
      </c>
      <c r="K14" s="13">
        <v>298</v>
      </c>
      <c r="L14" s="13">
        <v>16</v>
      </c>
    </row>
    <row r="15" spans="1:14">
      <c r="A15" s="12" t="s">
        <v>83</v>
      </c>
      <c r="B15" s="12" t="s">
        <v>241</v>
      </c>
      <c r="C15" s="13">
        <v>557</v>
      </c>
      <c r="D15" s="13">
        <v>428</v>
      </c>
      <c r="E15" s="13">
        <v>311</v>
      </c>
      <c r="F15" s="13">
        <v>287</v>
      </c>
      <c r="G15" s="13">
        <v>439</v>
      </c>
      <c r="H15" s="13">
        <v>338</v>
      </c>
      <c r="I15" s="13">
        <v>471</v>
      </c>
      <c r="J15" s="13">
        <v>241</v>
      </c>
      <c r="K15" s="13">
        <v>178</v>
      </c>
      <c r="L15" s="13">
        <v>11</v>
      </c>
    </row>
    <row r="16" spans="1:14">
      <c r="A16" s="12" t="s">
        <v>89</v>
      </c>
      <c r="B16" s="12" t="s">
        <v>242</v>
      </c>
      <c r="C16" s="13">
        <v>673</v>
      </c>
      <c r="D16" s="13">
        <v>557</v>
      </c>
      <c r="E16" s="13">
        <v>419</v>
      </c>
      <c r="F16" s="13">
        <v>429</v>
      </c>
      <c r="G16" s="13">
        <v>523</v>
      </c>
      <c r="H16" s="13">
        <v>379</v>
      </c>
      <c r="I16" s="13">
        <v>502</v>
      </c>
      <c r="J16" s="13">
        <v>345</v>
      </c>
      <c r="K16" s="13">
        <v>222</v>
      </c>
      <c r="L16" s="13">
        <v>7</v>
      </c>
    </row>
    <row r="17" spans="1:12">
      <c r="A17" s="12" t="s">
        <v>87</v>
      </c>
      <c r="B17" s="12" t="s">
        <v>243</v>
      </c>
      <c r="C17" s="13">
        <v>548</v>
      </c>
      <c r="D17" s="13">
        <v>437</v>
      </c>
      <c r="E17" s="13">
        <v>217</v>
      </c>
      <c r="F17" s="13">
        <v>223</v>
      </c>
      <c r="G17" s="13">
        <v>301</v>
      </c>
      <c r="H17" s="13">
        <v>210</v>
      </c>
      <c r="I17" s="13">
        <v>275</v>
      </c>
      <c r="J17" s="13">
        <v>227</v>
      </c>
      <c r="K17" s="13">
        <v>138</v>
      </c>
      <c r="L17" s="13">
        <v>12</v>
      </c>
    </row>
    <row r="18" spans="1:12">
      <c r="A18" s="12" t="s">
        <v>43</v>
      </c>
      <c r="B18" s="12" t="s">
        <v>244</v>
      </c>
      <c r="C18" s="13">
        <v>867</v>
      </c>
      <c r="D18" s="13">
        <v>668</v>
      </c>
      <c r="E18" s="13">
        <v>479</v>
      </c>
      <c r="F18" s="13">
        <v>510</v>
      </c>
      <c r="G18" s="13">
        <v>562</v>
      </c>
      <c r="H18" s="13">
        <v>428</v>
      </c>
      <c r="I18" s="13">
        <v>595</v>
      </c>
      <c r="J18" s="13">
        <v>365</v>
      </c>
      <c r="K18" s="13">
        <v>170</v>
      </c>
      <c r="L18" s="13">
        <v>7</v>
      </c>
    </row>
    <row r="19" spans="1:12">
      <c r="A19" s="12" t="s">
        <v>49</v>
      </c>
      <c r="B19" s="12" t="s">
        <v>245</v>
      </c>
      <c r="C19" s="13">
        <v>1027</v>
      </c>
      <c r="D19" s="13">
        <v>837</v>
      </c>
      <c r="E19" s="13">
        <v>725</v>
      </c>
      <c r="F19" s="13">
        <v>706</v>
      </c>
      <c r="G19" s="13">
        <v>865</v>
      </c>
      <c r="H19" s="13">
        <v>722</v>
      </c>
      <c r="I19" s="13">
        <v>824</v>
      </c>
      <c r="J19" s="13">
        <v>704</v>
      </c>
      <c r="K19" s="13">
        <v>583</v>
      </c>
      <c r="L19" s="13">
        <v>5</v>
      </c>
    </row>
    <row r="20" spans="1:12">
      <c r="A20" s="12" t="s">
        <v>47</v>
      </c>
      <c r="B20" s="12" t="s">
        <v>48</v>
      </c>
      <c r="C20" s="13">
        <v>657</v>
      </c>
      <c r="D20" s="13">
        <v>483</v>
      </c>
      <c r="E20" s="13">
        <v>400</v>
      </c>
      <c r="F20" s="13">
        <v>430</v>
      </c>
      <c r="G20" s="13">
        <v>431</v>
      </c>
      <c r="H20" s="13">
        <v>348</v>
      </c>
      <c r="I20" s="13">
        <v>446</v>
      </c>
      <c r="J20" s="13">
        <v>306</v>
      </c>
      <c r="K20" s="13">
        <v>231</v>
      </c>
      <c r="L20" s="13">
        <v>17</v>
      </c>
    </row>
    <row r="21" spans="1:12">
      <c r="A21" s="12" t="s">
        <v>45</v>
      </c>
      <c r="B21" s="12" t="s">
        <v>246</v>
      </c>
      <c r="C21" s="13">
        <v>733</v>
      </c>
      <c r="D21" s="13">
        <v>484</v>
      </c>
      <c r="E21" s="13">
        <v>394</v>
      </c>
      <c r="F21" s="13">
        <v>414</v>
      </c>
      <c r="G21" s="13">
        <v>535</v>
      </c>
      <c r="H21" s="13">
        <v>383</v>
      </c>
      <c r="I21" s="13">
        <v>562</v>
      </c>
      <c r="J21" s="13">
        <v>339</v>
      </c>
      <c r="K21" s="13">
        <v>198</v>
      </c>
      <c r="L21" s="13">
        <v>25</v>
      </c>
    </row>
    <row r="22" spans="1:12">
      <c r="A22" s="12" t="s">
        <v>71</v>
      </c>
      <c r="B22" s="12" t="s">
        <v>247</v>
      </c>
      <c r="C22" s="13">
        <v>1189</v>
      </c>
      <c r="D22" s="13">
        <v>971</v>
      </c>
      <c r="E22" s="13">
        <v>675</v>
      </c>
      <c r="F22" s="13">
        <v>679</v>
      </c>
      <c r="G22" s="13">
        <v>901</v>
      </c>
      <c r="H22" s="13">
        <v>712</v>
      </c>
      <c r="I22" s="13">
        <v>923</v>
      </c>
      <c r="J22" s="13">
        <v>535</v>
      </c>
      <c r="K22" s="13">
        <v>418</v>
      </c>
      <c r="L22" s="13">
        <v>66</v>
      </c>
    </row>
    <row r="23" spans="1:12">
      <c r="A23" s="12" t="s">
        <v>69</v>
      </c>
      <c r="B23" s="12" t="s">
        <v>248</v>
      </c>
      <c r="C23" s="13">
        <v>948</v>
      </c>
      <c r="D23" s="13">
        <v>780</v>
      </c>
      <c r="E23" s="13">
        <v>505</v>
      </c>
      <c r="F23" s="13">
        <v>577</v>
      </c>
      <c r="G23" s="13">
        <v>695</v>
      </c>
      <c r="H23" s="13">
        <v>536</v>
      </c>
      <c r="I23" s="13">
        <v>781</v>
      </c>
      <c r="J23" s="13">
        <v>485</v>
      </c>
      <c r="K23" s="13">
        <v>238</v>
      </c>
      <c r="L23" s="13">
        <v>43</v>
      </c>
    </row>
    <row r="24" spans="1:12">
      <c r="A24" s="12" t="s">
        <v>75</v>
      </c>
      <c r="B24" s="12" t="s">
        <v>249</v>
      </c>
      <c r="C24" s="13">
        <v>892</v>
      </c>
      <c r="D24" s="13">
        <v>772</v>
      </c>
      <c r="E24" s="13">
        <v>498</v>
      </c>
      <c r="F24" s="13">
        <v>461</v>
      </c>
      <c r="G24" s="13">
        <v>701</v>
      </c>
      <c r="H24" s="13">
        <v>487</v>
      </c>
      <c r="I24" s="13">
        <v>719</v>
      </c>
      <c r="J24" s="13">
        <v>404</v>
      </c>
      <c r="K24" s="13">
        <v>175</v>
      </c>
      <c r="L24" s="13">
        <v>23</v>
      </c>
    </row>
    <row r="25" spans="1:12">
      <c r="A25" s="12" t="s">
        <v>27</v>
      </c>
      <c r="B25" s="12" t="s">
        <v>250</v>
      </c>
      <c r="C25" s="13">
        <v>707</v>
      </c>
      <c r="D25" s="13">
        <v>483</v>
      </c>
      <c r="E25" s="13">
        <v>316</v>
      </c>
      <c r="F25" s="13">
        <v>343</v>
      </c>
      <c r="G25" s="13">
        <v>460</v>
      </c>
      <c r="H25" s="13">
        <v>352</v>
      </c>
      <c r="I25" s="13">
        <v>492</v>
      </c>
      <c r="J25" s="13">
        <v>280</v>
      </c>
      <c r="K25" s="13">
        <v>177</v>
      </c>
      <c r="L25" s="13">
        <v>30</v>
      </c>
    </row>
    <row r="26" spans="1:12">
      <c r="A26" s="12" t="s">
        <v>29</v>
      </c>
      <c r="B26" s="12" t="s">
        <v>30</v>
      </c>
      <c r="C26" s="13">
        <v>428</v>
      </c>
      <c r="D26" s="13">
        <v>277</v>
      </c>
      <c r="E26" s="13">
        <v>205</v>
      </c>
      <c r="F26" s="13">
        <v>195</v>
      </c>
      <c r="G26" s="13">
        <v>264</v>
      </c>
      <c r="H26" s="13">
        <v>192</v>
      </c>
      <c r="I26" s="13">
        <v>267</v>
      </c>
      <c r="J26" s="13">
        <v>185</v>
      </c>
      <c r="K26" s="13">
        <v>114</v>
      </c>
      <c r="L26" s="13">
        <v>10</v>
      </c>
    </row>
    <row r="27" spans="1:12">
      <c r="A27" s="12" t="s">
        <v>97</v>
      </c>
      <c r="B27" s="12" t="s">
        <v>251</v>
      </c>
      <c r="C27" s="13">
        <v>740</v>
      </c>
      <c r="D27" s="13">
        <v>602</v>
      </c>
      <c r="E27" s="13">
        <v>452</v>
      </c>
      <c r="F27" s="13">
        <v>429</v>
      </c>
      <c r="G27" s="13">
        <v>479</v>
      </c>
      <c r="H27" s="13">
        <v>365</v>
      </c>
      <c r="I27" s="13">
        <v>512</v>
      </c>
      <c r="J27" s="13">
        <v>364</v>
      </c>
      <c r="K27" s="13">
        <v>261</v>
      </c>
      <c r="L27" s="13">
        <v>41</v>
      </c>
    </row>
    <row r="28" spans="1:12">
      <c r="A28" s="12" t="s">
        <v>95</v>
      </c>
      <c r="B28" s="12" t="s">
        <v>252</v>
      </c>
      <c r="C28" s="13">
        <v>771</v>
      </c>
      <c r="D28" s="13">
        <v>564</v>
      </c>
      <c r="E28" s="13">
        <v>412</v>
      </c>
      <c r="F28" s="13">
        <v>403</v>
      </c>
      <c r="G28" s="13">
        <v>508</v>
      </c>
      <c r="H28" s="13">
        <v>359</v>
      </c>
      <c r="I28" s="13">
        <v>597</v>
      </c>
      <c r="J28" s="13">
        <v>333</v>
      </c>
      <c r="K28" s="13">
        <v>259</v>
      </c>
      <c r="L28" s="13">
        <v>14</v>
      </c>
    </row>
    <row r="29" spans="1:12">
      <c r="A29" s="12" t="s">
        <v>91</v>
      </c>
      <c r="B29" s="12" t="s">
        <v>253</v>
      </c>
      <c r="C29" s="13">
        <v>587</v>
      </c>
      <c r="D29" s="13">
        <v>495</v>
      </c>
      <c r="E29" s="13">
        <v>252</v>
      </c>
      <c r="F29" s="13">
        <v>253</v>
      </c>
      <c r="G29" s="13">
        <v>320</v>
      </c>
      <c r="H29" s="13">
        <v>176</v>
      </c>
      <c r="I29" s="13">
        <v>408</v>
      </c>
      <c r="J29" s="13">
        <v>163</v>
      </c>
      <c r="K29" s="13">
        <v>135</v>
      </c>
      <c r="L29" s="13">
        <v>23</v>
      </c>
    </row>
    <row r="30" spans="1:12">
      <c r="A30" s="12" t="s">
        <v>33</v>
      </c>
      <c r="B30" s="12" t="s">
        <v>254</v>
      </c>
      <c r="C30" s="13">
        <v>641</v>
      </c>
      <c r="D30" s="13">
        <v>404</v>
      </c>
      <c r="E30" s="13">
        <v>303</v>
      </c>
      <c r="F30" s="13">
        <v>357</v>
      </c>
      <c r="G30" s="13">
        <v>376</v>
      </c>
      <c r="H30" s="13">
        <v>268</v>
      </c>
      <c r="I30" s="13">
        <v>454</v>
      </c>
      <c r="J30" s="13">
        <v>293</v>
      </c>
      <c r="K30" s="13">
        <v>120</v>
      </c>
      <c r="L30" s="13">
        <v>26</v>
      </c>
    </row>
    <row r="31" spans="1:12">
      <c r="A31" s="12" t="s">
        <v>39</v>
      </c>
      <c r="B31" s="12" t="s">
        <v>255</v>
      </c>
      <c r="C31" s="13">
        <v>677</v>
      </c>
      <c r="D31" s="13">
        <v>405</v>
      </c>
      <c r="E31" s="13">
        <v>284</v>
      </c>
      <c r="F31" s="13">
        <v>364</v>
      </c>
      <c r="G31" s="13">
        <v>380</v>
      </c>
      <c r="H31" s="13">
        <v>224</v>
      </c>
      <c r="I31" s="13">
        <v>486</v>
      </c>
      <c r="J31" s="13">
        <v>262</v>
      </c>
      <c r="K31" s="13">
        <v>128</v>
      </c>
      <c r="L31" s="13">
        <v>37</v>
      </c>
    </row>
    <row r="32" spans="1:12">
      <c r="A32" s="12" t="s">
        <v>37</v>
      </c>
      <c r="B32" s="12" t="s">
        <v>256</v>
      </c>
      <c r="C32" s="13">
        <v>867</v>
      </c>
      <c r="D32" s="13">
        <v>586</v>
      </c>
      <c r="E32" s="13">
        <v>425</v>
      </c>
      <c r="F32" s="13">
        <v>459</v>
      </c>
      <c r="G32" s="13">
        <v>565</v>
      </c>
      <c r="H32" s="13">
        <v>482</v>
      </c>
      <c r="I32" s="13">
        <v>686</v>
      </c>
      <c r="J32" s="13">
        <v>406</v>
      </c>
      <c r="K32" s="13">
        <v>221</v>
      </c>
      <c r="L32" s="13">
        <v>53</v>
      </c>
    </row>
    <row r="33" spans="1:12" ht="18.75">
      <c r="A33" s="17" t="s">
        <v>25</v>
      </c>
      <c r="B33" s="17" t="s">
        <v>257</v>
      </c>
      <c r="C33" s="18">
        <v>855</v>
      </c>
      <c r="D33" s="18">
        <v>604</v>
      </c>
      <c r="E33" s="18">
        <v>528</v>
      </c>
      <c r="F33" s="18">
        <v>549</v>
      </c>
      <c r="G33" s="18">
        <v>662</v>
      </c>
      <c r="H33" s="18">
        <v>534</v>
      </c>
      <c r="I33" s="18">
        <v>617</v>
      </c>
      <c r="J33" s="18">
        <v>490</v>
      </c>
      <c r="K33" s="18">
        <v>359</v>
      </c>
      <c r="L33" s="18">
        <v>48</v>
      </c>
    </row>
    <row r="34" spans="1:12">
      <c r="A34" s="12" t="s">
        <v>31</v>
      </c>
      <c r="B34" s="12" t="s">
        <v>258</v>
      </c>
      <c r="C34" s="13">
        <v>721</v>
      </c>
      <c r="D34" s="13">
        <v>449</v>
      </c>
      <c r="E34" s="13">
        <v>262</v>
      </c>
      <c r="F34" s="13">
        <v>347</v>
      </c>
      <c r="G34" s="13">
        <v>369</v>
      </c>
      <c r="H34" s="13">
        <v>507</v>
      </c>
      <c r="I34" s="13">
        <v>517</v>
      </c>
      <c r="J34" s="13">
        <v>312</v>
      </c>
      <c r="K34" s="13">
        <v>97</v>
      </c>
      <c r="L34" s="13">
        <v>13</v>
      </c>
    </row>
    <row r="35" spans="1:12">
      <c r="A35" s="12" t="s">
        <v>67</v>
      </c>
      <c r="B35" s="12" t="s">
        <v>68</v>
      </c>
      <c r="C35" s="13">
        <v>681</v>
      </c>
      <c r="D35" s="13">
        <v>590</v>
      </c>
      <c r="E35" s="13">
        <v>438</v>
      </c>
      <c r="F35" s="13">
        <v>417</v>
      </c>
      <c r="G35" s="13">
        <v>483</v>
      </c>
      <c r="H35" s="13">
        <v>434</v>
      </c>
      <c r="I35" s="13">
        <v>464</v>
      </c>
      <c r="J35" s="13">
        <v>250</v>
      </c>
      <c r="K35" s="13">
        <v>303</v>
      </c>
      <c r="L35" s="13">
        <v>67</v>
      </c>
    </row>
    <row r="36" spans="1:12">
      <c r="A36" s="12" t="s">
        <v>53</v>
      </c>
      <c r="B36" s="12" t="s">
        <v>54</v>
      </c>
      <c r="C36" s="13">
        <v>756</v>
      </c>
      <c r="D36" s="13">
        <v>582</v>
      </c>
      <c r="E36" s="13">
        <v>419</v>
      </c>
      <c r="F36" s="13">
        <v>433</v>
      </c>
      <c r="G36" s="13">
        <v>569</v>
      </c>
      <c r="H36" s="13">
        <v>388</v>
      </c>
      <c r="I36" s="13">
        <v>534</v>
      </c>
      <c r="J36" s="13">
        <v>353</v>
      </c>
      <c r="K36" s="13">
        <v>230</v>
      </c>
      <c r="L36" s="13">
        <v>10</v>
      </c>
    </row>
    <row r="37" spans="1:12">
      <c r="A37" s="12" t="s">
        <v>65</v>
      </c>
      <c r="B37" s="12" t="s">
        <v>259</v>
      </c>
      <c r="C37" s="13">
        <v>781</v>
      </c>
      <c r="D37" s="13">
        <v>618</v>
      </c>
      <c r="E37" s="13">
        <v>550</v>
      </c>
      <c r="F37" s="13">
        <v>564</v>
      </c>
      <c r="G37" s="13">
        <v>604</v>
      </c>
      <c r="H37" s="13">
        <v>494</v>
      </c>
      <c r="I37" s="13">
        <v>594</v>
      </c>
      <c r="J37" s="13">
        <v>477</v>
      </c>
      <c r="K37" s="13">
        <v>356</v>
      </c>
      <c r="L37" s="13">
        <v>7</v>
      </c>
    </row>
    <row r="38" spans="1:12">
      <c r="A38" s="12" t="s">
        <v>57</v>
      </c>
      <c r="B38" s="12" t="s">
        <v>260</v>
      </c>
      <c r="C38" s="13">
        <v>837</v>
      </c>
      <c r="D38" s="13">
        <v>583</v>
      </c>
      <c r="E38" s="13">
        <v>441</v>
      </c>
      <c r="F38" s="13">
        <v>461</v>
      </c>
      <c r="G38" s="13">
        <v>522</v>
      </c>
      <c r="H38" s="13">
        <v>386</v>
      </c>
      <c r="I38" s="13">
        <v>582</v>
      </c>
      <c r="J38" s="13">
        <v>345</v>
      </c>
      <c r="K38" s="13">
        <v>177</v>
      </c>
      <c r="L38" s="13">
        <v>29</v>
      </c>
    </row>
    <row r="39" spans="1:12">
      <c r="A39" s="12" t="s">
        <v>59</v>
      </c>
      <c r="B39" s="12" t="s">
        <v>261</v>
      </c>
      <c r="C39" s="13">
        <v>902</v>
      </c>
      <c r="D39" s="13">
        <v>660</v>
      </c>
      <c r="E39" s="13">
        <v>470</v>
      </c>
      <c r="F39" s="13">
        <v>488</v>
      </c>
      <c r="G39" s="13">
        <v>613</v>
      </c>
      <c r="H39" s="13">
        <v>483</v>
      </c>
      <c r="I39" s="13">
        <v>726</v>
      </c>
      <c r="J39" s="13">
        <v>451</v>
      </c>
      <c r="K39" s="13">
        <v>285</v>
      </c>
      <c r="L39" s="13">
        <v>21</v>
      </c>
    </row>
    <row r="40" spans="1:12">
      <c r="A40" s="12" t="s">
        <v>61</v>
      </c>
      <c r="B40" s="12" t="s">
        <v>62</v>
      </c>
      <c r="C40" s="13">
        <v>993</v>
      </c>
      <c r="D40" s="13">
        <v>689</v>
      </c>
      <c r="E40" s="13">
        <v>565</v>
      </c>
      <c r="F40" s="13">
        <v>605</v>
      </c>
      <c r="G40" s="13">
        <v>684</v>
      </c>
      <c r="H40" s="13">
        <v>523</v>
      </c>
      <c r="I40" s="13">
        <v>654</v>
      </c>
      <c r="J40" s="13">
        <v>460</v>
      </c>
      <c r="K40" s="13">
        <v>345</v>
      </c>
      <c r="L40" s="13">
        <v>49</v>
      </c>
    </row>
    <row r="41" spans="1:12">
      <c r="A41" s="12" t="s">
        <v>21</v>
      </c>
      <c r="B41" s="12" t="s">
        <v>262</v>
      </c>
      <c r="C41" s="13">
        <v>740</v>
      </c>
      <c r="D41" s="13">
        <v>491</v>
      </c>
      <c r="E41" s="13">
        <v>365</v>
      </c>
      <c r="F41" s="13">
        <v>401</v>
      </c>
      <c r="G41" s="13">
        <v>417</v>
      </c>
      <c r="H41" s="13">
        <v>355</v>
      </c>
      <c r="I41" s="13">
        <v>552</v>
      </c>
      <c r="J41" s="13">
        <v>374</v>
      </c>
      <c r="K41" s="13">
        <v>216</v>
      </c>
      <c r="L41" s="13">
        <v>30</v>
      </c>
    </row>
    <row r="42" spans="1:12">
      <c r="A42" s="12" t="s">
        <v>14</v>
      </c>
      <c r="B42" s="12" t="s">
        <v>15</v>
      </c>
      <c r="C42" s="13">
        <v>531</v>
      </c>
      <c r="D42" s="13">
        <v>350</v>
      </c>
      <c r="E42" s="13">
        <v>283</v>
      </c>
      <c r="F42" s="13">
        <v>289</v>
      </c>
      <c r="G42" s="13">
        <v>315</v>
      </c>
      <c r="H42" s="13">
        <v>360</v>
      </c>
      <c r="I42" s="13">
        <v>432</v>
      </c>
      <c r="J42" s="13">
        <v>230</v>
      </c>
      <c r="K42" s="13">
        <v>156</v>
      </c>
      <c r="L42" s="13">
        <v>29</v>
      </c>
    </row>
    <row r="43" spans="1:12">
      <c r="A43" s="12" t="s">
        <v>23</v>
      </c>
      <c r="B43" s="12" t="s">
        <v>263</v>
      </c>
      <c r="C43" s="13">
        <v>1253</v>
      </c>
      <c r="D43" s="13">
        <v>918</v>
      </c>
      <c r="E43" s="13">
        <v>728</v>
      </c>
      <c r="F43" s="13">
        <v>768</v>
      </c>
      <c r="G43" s="13">
        <v>911</v>
      </c>
      <c r="H43" s="13">
        <v>833</v>
      </c>
      <c r="I43" s="13">
        <v>1056</v>
      </c>
      <c r="J43" s="13">
        <v>628</v>
      </c>
      <c r="K43" s="13">
        <v>392</v>
      </c>
      <c r="L43" s="13">
        <v>24</v>
      </c>
    </row>
    <row r="44" spans="1:12">
      <c r="A44" s="12" t="s">
        <v>16</v>
      </c>
      <c r="B44" s="12" t="s">
        <v>264</v>
      </c>
      <c r="C44" s="13">
        <v>768</v>
      </c>
      <c r="D44" s="13">
        <v>518</v>
      </c>
      <c r="E44" s="13">
        <v>433</v>
      </c>
      <c r="F44" s="13">
        <v>462</v>
      </c>
      <c r="G44" s="13">
        <v>511</v>
      </c>
      <c r="H44" s="13">
        <v>440</v>
      </c>
      <c r="I44" s="13">
        <v>563</v>
      </c>
      <c r="J44" s="13">
        <v>358</v>
      </c>
      <c r="K44" s="13">
        <v>251</v>
      </c>
      <c r="L44" s="13">
        <v>17</v>
      </c>
    </row>
    <row r="45" spans="1:12">
      <c r="A45" s="12" t="s">
        <v>35</v>
      </c>
      <c r="B45" s="12" t="s">
        <v>265</v>
      </c>
      <c r="C45" s="13">
        <v>652</v>
      </c>
      <c r="D45" s="13">
        <v>400</v>
      </c>
      <c r="E45" s="13">
        <v>311</v>
      </c>
      <c r="F45" s="13">
        <v>346</v>
      </c>
      <c r="G45" s="13">
        <v>344</v>
      </c>
      <c r="H45" s="13">
        <v>305</v>
      </c>
      <c r="I45" s="13">
        <v>459</v>
      </c>
      <c r="J45" s="13">
        <v>248</v>
      </c>
      <c r="K45" s="13">
        <v>124</v>
      </c>
      <c r="L45" s="13">
        <v>25</v>
      </c>
    </row>
    <row r="46" spans="1:12">
      <c r="A46" s="12" t="s">
        <v>55</v>
      </c>
      <c r="B46" s="12" t="s">
        <v>266</v>
      </c>
      <c r="C46" s="13">
        <v>1043</v>
      </c>
      <c r="D46" s="13">
        <v>694</v>
      </c>
      <c r="E46" s="13">
        <v>425</v>
      </c>
      <c r="F46" s="13">
        <v>514</v>
      </c>
      <c r="G46" s="13">
        <v>645</v>
      </c>
      <c r="H46" s="13">
        <v>493</v>
      </c>
      <c r="I46" s="13">
        <v>709</v>
      </c>
      <c r="J46" s="13">
        <v>355</v>
      </c>
      <c r="K46" s="13">
        <v>245</v>
      </c>
      <c r="L46" s="13">
        <v>29</v>
      </c>
    </row>
    <row r="47" spans="1:12" ht="23.25" customHeight="1">
      <c r="A47" s="144" t="s">
        <v>122</v>
      </c>
      <c r="B47" s="145"/>
      <c r="C47" s="15">
        <f>SUM(C4:C46)</f>
        <v>33863</v>
      </c>
      <c r="D47" s="15">
        <f>SUM(D4:D46)</f>
        <v>25123</v>
      </c>
      <c r="E47" s="15">
        <f t="shared" ref="E47:I47" si="0">SUM(E4:E46)</f>
        <v>18596</v>
      </c>
      <c r="F47" s="15">
        <f t="shared" si="0"/>
        <v>19535</v>
      </c>
      <c r="G47" s="15">
        <f t="shared" si="0"/>
        <v>23345</v>
      </c>
      <c r="H47" s="15">
        <f t="shared" si="0"/>
        <v>18014</v>
      </c>
      <c r="I47" s="15">
        <f t="shared" si="0"/>
        <v>24668</v>
      </c>
      <c r="J47" s="15">
        <f>SUM(J4:J46)</f>
        <v>15595</v>
      </c>
      <c r="K47" s="15">
        <f t="shared" ref="K47:L47" si="1">SUM(K4:K46)</f>
        <v>9979</v>
      </c>
      <c r="L47" s="15">
        <f t="shared" si="1"/>
        <v>1095</v>
      </c>
    </row>
    <row r="48" spans="1:12">
      <c r="B48" s="19">
        <v>45778</v>
      </c>
    </row>
  </sheetData>
  <mergeCells count="2">
    <mergeCell ref="A1:L1"/>
    <mergeCell ref="A47:B47"/>
  </mergeCells>
  <pageMargins left="0.25" right="0.25" top="0.75" bottom="0.75" header="0.3" footer="0.3"/>
  <pageSetup paperSize="9" scale="75" fitToWidth="0" fitToHeight="0" orientation="landscape" horizontalDpi="0" verticalDpi="0" r:id="rId1"/>
  <colBreaks count="2" manualBreakCount="2">
    <brk id="12" max="50" man="1"/>
    <brk id="14" max="50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D6E42623EF9841B0AB0B602CF34A79" ma:contentTypeVersion="16" ma:contentTypeDescription="Crie um novo documento." ma:contentTypeScope="" ma:versionID="f39f5a45d15100a7aedf22b331b4d889">
  <xsd:schema xmlns:xsd="http://www.w3.org/2001/XMLSchema" xmlns:xs="http://www.w3.org/2001/XMLSchema" xmlns:p="http://schemas.microsoft.com/office/2006/metadata/properties" xmlns:ns3="e216d486-40df-466c-9afb-17b04b8c8919" xmlns:ns4="17e6848f-4fdb-4d2a-bf8c-c1c0488dc1ea" targetNamespace="http://schemas.microsoft.com/office/2006/metadata/properties" ma:root="true" ma:fieldsID="a87b9d6c311ddd22147e08e7434cd734" ns3:_="" ns4:_="">
    <xsd:import namespace="e216d486-40df-466c-9afb-17b04b8c8919"/>
    <xsd:import namespace="17e6848f-4fdb-4d2a-bf8c-c1c0488dc1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6d486-40df-466c-9afb-17b04b8c8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6848f-4fdb-4d2a-bf8c-c1c0488dc1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16d486-40df-466c-9afb-17b04b8c8919" xsi:nil="true"/>
  </documentManagement>
</p:properties>
</file>

<file path=customXml/itemProps1.xml><?xml version="1.0" encoding="utf-8"?>
<ds:datastoreItem xmlns:ds="http://schemas.openxmlformats.org/officeDocument/2006/customXml" ds:itemID="{47FCF16D-377F-4626-9CFF-17CF1D657D97}"/>
</file>

<file path=customXml/itemProps2.xml><?xml version="1.0" encoding="utf-8"?>
<ds:datastoreItem xmlns:ds="http://schemas.openxmlformats.org/officeDocument/2006/customXml" ds:itemID="{B30BB8FD-077C-4B5E-AE2D-43840C58C083}"/>
</file>

<file path=customXml/itemProps3.xml><?xml version="1.0" encoding="utf-8"?>
<ds:datastoreItem xmlns:ds="http://schemas.openxmlformats.org/officeDocument/2006/customXml" ds:itemID="{45EF63E0-F414-4E1B-A3FA-1B24CE6F5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2025-04-14T17:23:46Z</dcterms:created>
  <dcterms:modified xsi:type="dcterms:W3CDTF">2026-08-27T23:50:56Z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0x01010058D6E42623EF9841B0AB0B602CF34A79</vt:lpwstr>
  </property>
</Properties>
</file>